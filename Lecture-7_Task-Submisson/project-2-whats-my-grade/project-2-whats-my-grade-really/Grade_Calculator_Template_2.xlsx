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5"/>
  </bookViews>
  <sheets>
    <sheet name="Instructions" sheetId="1" state="visible" r:id="rId3"/>
    <sheet name="Grading Policy" sheetId="2" state="visible" r:id="rId4"/>
    <sheet name="Assignments" sheetId="3" state="visible" r:id="rId5"/>
    <sheet name="Quizzes" sheetId="4" state="visible" r:id="rId6"/>
    <sheet name="Exams &amp; Participation" sheetId="5" state="visible" r:id="rId7"/>
    <sheet name="Grade Calculator"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<sst xmlns="http://schemas.openxmlformats.org/spreadsheetml/2006/main" count="136" uniqueCount="112">
  <si>
    <t xml:space="preserve">Grade Calculator — Template Built on Dummy Data</t>
  </si>
  <si>
    <t xml:space="preserve">This workbook is a working example, not your real grades. It shows how to combine category weights, dropped scores, a midterm/final replacement rule, and a participation bonus into one final grade — all driven by formulas so it recalculates automatically. Swap in your real scores and your teacher's actual policy and the numbers will update on their own.</t>
  </si>
  <si>
    <t xml:space="preserve">Color legend</t>
  </si>
  <si>
    <t xml:space="preserve">Blue text</t>
  </si>
  <si>
    <t xml:space="preserve">Raw score input — replace with your real scores (assignments, quizzes, exam points, bonus points earned).</t>
  </si>
  <si>
    <t xml:space="preserve">Yellow fill</t>
  </si>
  <si>
    <t xml:space="preserve">Policy / assumption cell — weights, drop counts, bonus cap, grade scale. Edit these to match your syllabus exactly.</t>
  </si>
  <si>
    <t xml:space="preserve">Black text</t>
  </si>
  <si>
    <t xml:space="preserve">Formula — do not overwrite. It recalculates automatically when inputs change.</t>
  </si>
  <si>
    <t xml:space="preserve">Sheet guide</t>
  </si>
  <si>
    <t xml:space="preserve">Grading Policy</t>
  </si>
  <si>
    <t xml:space="preserve">Category weights, drop-lowest rules, the midterm↔final replacement rule, the bonus rule, and the letter-grade scale.</t>
  </si>
  <si>
    <t xml:space="preserve">Assignments</t>
  </si>
  <si>
    <t xml:space="preserve">10 dummy assignment scores; lowest 2 are auto-dropped.</t>
  </si>
  <si>
    <t xml:space="preserve">Quizzes</t>
  </si>
  <si>
    <t xml:space="preserve">8 dummy quiz scores; lowest 1 is auto-dropped.</t>
  </si>
  <si>
    <t xml:space="preserve">Exams &amp; Participation</t>
  </si>
  <si>
    <t xml:space="preserve">Midterm 1, Midterm 2, Final Exam scores, and participation bonus points.</t>
  </si>
  <si>
    <t xml:space="preserve">Grade Calculator</t>
  </si>
  <si>
    <t xml:space="preserve">Pulls every sheet together, applies the replacement rule, and computes the final grade and letter.</t>
  </si>
  <si>
    <t xml:space="preserve">To use with your real data</t>
  </si>
  <si>
    <t xml:space="preserve">1) Open Grading Policy and enter your teacher's real weights, drop counts, replacement rule and bonus cap.  2) Open Assignments, Quizzes and Exams &amp; Participation and replace every blue score with your real one (add or delete rows if your counts differ — just extend the formulas down).  3) Grade Calculator updates itself — no formulas there need to be touched.</t>
  </si>
  <si>
    <t xml:space="preserve">Grading Policy (Sample — Edit to Match Your Syllabus)</t>
  </si>
  <si>
    <t xml:space="preserve">Category</t>
  </si>
  <si>
    <t xml:space="preserve">Weight</t>
  </si>
  <si>
    <t xml:space="preserve"># of Scores</t>
  </si>
  <si>
    <t xml:space="preserve">Drop Lowest</t>
  </si>
  <si>
    <t xml:space="preserve">Notes</t>
  </si>
  <si>
    <t xml:space="preserve">Lowest 2 of 10 assignment scores are dropped before averaging.</t>
  </si>
  <si>
    <t xml:space="preserve">Lowest 1 of 8 quiz scores is dropped before averaging.</t>
  </si>
  <si>
    <t xml:space="preserve">Midterm 1</t>
  </si>
  <si>
    <t xml:space="preserve">May be replaced by the Final Exam % — see Replacement Rule below.</t>
  </si>
  <si>
    <t xml:space="preserve">Midterm 2</t>
  </si>
  <si>
    <t xml:space="preserve">Final Exam</t>
  </si>
  <si>
    <t xml:space="preserve">Counted directly; also used for the midterm replacement rule.</t>
  </si>
  <si>
    <t xml:space="preserve">TOTAL</t>
  </si>
  <si>
    <t xml:space="preserve">Should equal 100%.</t>
  </si>
  <si>
    <t xml:space="preserve">Participation Bonus (Extra Credit)</t>
  </si>
  <si>
    <t xml:space="preserve">Max Bonus (percentage points)</t>
  </si>
  <si>
    <t xml:space="preserve">Added directly to the final weighted % after all categories are combined; total is capped at 100%.</t>
  </si>
  <si>
    <t xml:space="preserve">Replacement Rule</t>
  </si>
  <si>
    <t xml:space="preserve">If the Final Exam percentage is higher than the lower of the two Midterm percentages, the Final Exam percentage replaces that lower Midterm score for weighting purposes. The higher Midterm score is always kept as-is. This rewards a strong final without penalizing an off day on one midterm.</t>
  </si>
  <si>
    <t xml:space="preserve">Grade Scale</t>
  </si>
  <si>
    <t xml:space="preserve">Min % (inclusive)</t>
  </si>
  <si>
    <t xml:space="preserve">Letter Grade</t>
  </si>
  <si>
    <t xml:space="preserve">F</t>
  </si>
  <si>
    <t xml:space="preserve">D</t>
  </si>
  <si>
    <t xml:space="preserve">C-</t>
  </si>
  <si>
    <t xml:space="preserve">C</t>
  </si>
  <si>
    <t xml:space="preserve">C+</t>
  </si>
  <si>
    <t xml:space="preserve">B-</t>
  </si>
  <si>
    <t xml:space="preserve">B</t>
  </si>
  <si>
    <t xml:space="preserve">B+</t>
  </si>
  <si>
    <t xml:space="preserve">A-</t>
  </si>
  <si>
    <t xml:space="preserve">A</t>
  </si>
  <si>
    <t xml:space="preserve">Assignments — DUMMY DATA (replace with your real scores)</t>
  </si>
  <si>
    <t xml:space="preserve">#</t>
  </si>
  <si>
    <t xml:space="preserve">Assignment</t>
  </si>
  <si>
    <t xml:space="preserve">Max Points</t>
  </si>
  <si>
    <t xml:space="preserve">Score Earned</t>
  </si>
  <si>
    <t xml:space="preserve">% Score</t>
  </si>
  <si>
    <t xml:space="preserve">Rank (1=Lowest)</t>
  </si>
  <si>
    <t xml:space="preserve">Status</t>
  </si>
  <si>
    <t xml:space="preserve">Assignment 1</t>
  </si>
  <si>
    <t xml:space="preserve">Assignment 2</t>
  </si>
  <si>
    <t xml:space="preserve">Assignment 3</t>
  </si>
  <si>
    <t xml:space="preserve">Assignment 4</t>
  </si>
  <si>
    <t xml:space="preserve">Assignment 5</t>
  </si>
  <si>
    <t xml:space="preserve">Assignment 6</t>
  </si>
  <si>
    <t xml:space="preserve">Assignment 7</t>
  </si>
  <si>
    <t xml:space="preserve">Assignment 8</t>
  </si>
  <si>
    <t xml:space="preserve">Assignment 9</t>
  </si>
  <si>
    <t xml:space="preserve">Assignment 10</t>
  </si>
  <si>
    <t xml:space="preserve">Category Average (after drops)</t>
  </si>
  <si>
    <t xml:space="preserve">Lowest scores dropped (from policy):</t>
  </si>
  <si>
    <t xml:space="preserve">Quizzes — DUMMY DATA (replace with your real scores)</t>
  </si>
  <si>
    <t xml:space="preserve">Quiz</t>
  </si>
  <si>
    <t xml:space="preserve">Quiz 1</t>
  </si>
  <si>
    <t xml:space="preserve">Quiz 2</t>
  </si>
  <si>
    <t xml:space="preserve">Quiz 3</t>
  </si>
  <si>
    <t xml:space="preserve">Quiz 4</t>
  </si>
  <si>
    <t xml:space="preserve">Quiz 5</t>
  </si>
  <si>
    <t xml:space="preserve">Quiz 6</t>
  </si>
  <si>
    <t xml:space="preserve">Quiz 7</t>
  </si>
  <si>
    <t xml:space="preserve">Quiz 8</t>
  </si>
  <si>
    <t xml:space="preserve">Exams &amp; Participation — DUMMY DATA (replace with your real scores)</t>
  </si>
  <si>
    <t xml:space="preserve">Item</t>
  </si>
  <si>
    <t xml:space="preserve">Participation</t>
  </si>
  <si>
    <t xml:space="preserve">Max Bonus (pts)</t>
  </si>
  <si>
    <t xml:space="preserve">Points Earned</t>
  </si>
  <si>
    <t xml:space="preserve">Bonus</t>
  </si>
  <si>
    <t xml:space="preserve">Category Scores (pulled from other sheets)</t>
  </si>
  <si>
    <t xml:space="preserve">Assignments Category Average</t>
  </si>
  <si>
    <t xml:space="preserve">Quizzes Category Average</t>
  </si>
  <si>
    <t xml:space="preserve">Midterm 1 %</t>
  </si>
  <si>
    <t xml:space="preserve">Midterm 2 %</t>
  </si>
  <si>
    <t xml:space="preserve">Final Exam %</t>
  </si>
  <si>
    <t xml:space="preserve">Participation Points Earned</t>
  </si>
  <si>
    <t xml:space="preserve">Replacement Rule Applied</t>
  </si>
  <si>
    <t xml:space="preserve">Lower Midterm %</t>
  </si>
  <si>
    <t xml:space="preserve">Higher Midterm %</t>
  </si>
  <si>
    <t xml:space="preserve">Replacement Triggered? (Final % &gt; Lower Midterm %)</t>
  </si>
  <si>
    <t xml:space="preserve">Adjusted Lower Midterm % (used in weighting)</t>
  </si>
  <si>
    <t xml:space="preserve">Weighted Calculation</t>
  </si>
  <si>
    <t xml:space="preserve">Score Used</t>
  </si>
  <si>
    <t xml:space="preserve">Weighted Contribution</t>
  </si>
  <si>
    <t xml:space="preserve">Midterm (Lower, post-replacement)</t>
  </si>
  <si>
    <t xml:space="preserve">Midterm (Higher)</t>
  </si>
  <si>
    <t xml:space="preserve">Subtotal (Weighted %, before bonus)</t>
  </si>
  <si>
    <t xml:space="preserve">Bonus &amp; Final Grade</t>
  </si>
  <si>
    <t xml:space="preserve">Participation Bonus (percentage points)</t>
  </si>
  <si>
    <t xml:space="preserve">Final Grade % (weighted + bonus, capped at 100%)</t>
  </si>
</sst>
</file>

<file path=xl/styles.xml><?xml version="1.0" encoding="utf-8"?>
<styleSheet xmlns="http://schemas.openxmlformats.org/spreadsheetml/2006/main">
  <numFmts count="5">
    <numFmt numFmtId="164" formatCode="General"/>
    <numFmt numFmtId="165" formatCode="0%"/>
    <numFmt numFmtId="166" formatCode="0.0"/>
    <numFmt numFmtId="167" formatCode="0.00%"/>
    <numFmt numFmtId="168" formatCode="General"/>
  </numFmts>
  <fonts count="12">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sz val="10"/>
      <name val="Arial"/>
      <family val="0"/>
      <charset val="1"/>
    </font>
    <font>
      <b val="true"/>
      <sz val="12"/>
      <color rgb="FF1F3864"/>
      <name val="Arial"/>
      <family val="0"/>
      <charset val="1"/>
    </font>
    <font>
      <sz val="10"/>
      <color rgb="FF0000FF"/>
      <name val="Arial"/>
      <family val="0"/>
      <charset val="1"/>
    </font>
    <font>
      <b val="true"/>
      <sz val="10"/>
      <name val="Arial"/>
      <family val="0"/>
      <charset val="1"/>
    </font>
    <font>
      <sz val="10"/>
      <color rgb="FF000000"/>
      <name val="Arial"/>
      <family val="0"/>
      <charset val="1"/>
    </font>
    <font>
      <b val="true"/>
      <sz val="10"/>
      <color rgb="FFFFFFFF"/>
      <name val="Arial"/>
      <family val="0"/>
      <charset val="1"/>
    </font>
    <font>
      <b val="true"/>
      <sz val="14"/>
      <color rgb="FFFFFFFF"/>
      <name val="Arial"/>
      <family val="0"/>
      <charset val="1"/>
    </font>
  </fonts>
  <fills count="6">
    <fill>
      <patternFill patternType="none"/>
    </fill>
    <fill>
      <patternFill patternType="gray125"/>
    </fill>
    <fill>
      <patternFill patternType="solid">
        <fgColor rgb="FFE7ECF5"/>
        <bgColor rgb="FFD9E1F2"/>
      </patternFill>
    </fill>
    <fill>
      <patternFill patternType="solid">
        <fgColor rgb="FFFFF2CC"/>
        <bgColor rgb="FFE7ECF5"/>
      </patternFill>
    </fill>
    <fill>
      <patternFill patternType="solid">
        <fgColor rgb="FF1F3864"/>
        <bgColor rgb="FF333333"/>
      </patternFill>
    </fill>
    <fill>
      <patternFill patternType="solid">
        <fgColor rgb="FFD9E1F2"/>
        <bgColor rgb="FFE7ECF5"/>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true" applyAlignment="true" applyProtection="false">
      <alignment horizontal="general" vertical="center" textRotation="0" wrapText="false" indent="1" shrinkToFit="false"/>
      <protection locked="true" hidden="false"/>
    </xf>
    <xf numFmtId="164" fontId="7" fillId="0" borderId="1" xfId="0" applyFont="true" applyBorder="true" applyAlignment="true" applyProtection="false">
      <alignment horizontal="general" vertical="center" textRotation="0" wrapText="false" indent="0" shrinkToFit="false"/>
      <protection locked="true" hidden="false"/>
    </xf>
    <xf numFmtId="164" fontId="8" fillId="3" borderId="1" xfId="0" applyFont="true" applyBorder="true" applyAlignment="true" applyProtection="false">
      <alignment horizontal="general" vertical="center" textRotation="0" wrapText="false" indent="0" shrinkToFit="false"/>
      <protection locked="true" hidden="false"/>
    </xf>
    <xf numFmtId="164" fontId="9" fillId="0" borderId="1" xfId="0" applyFont="true" applyBorder="true" applyAlignment="true" applyProtection="false">
      <alignment horizontal="general" vertical="center" textRotation="0" wrapText="false" indent="0" shrinkToFit="false"/>
      <protection locked="true" hidden="false"/>
    </xf>
    <xf numFmtId="164" fontId="8" fillId="0" borderId="1" xfId="0" applyFont="true" applyBorder="true" applyAlignment="true" applyProtection="false">
      <alignment horizontal="general" vertical="center" textRotation="0" wrapText="fals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center" textRotation="0" wrapText="false" indent="0" shrinkToFit="false"/>
      <protection locked="true" hidden="false"/>
    </xf>
    <xf numFmtId="165" fontId="7" fillId="3" borderId="1" xfId="0" applyFont="true" applyBorder="true" applyAlignment="true" applyProtection="false">
      <alignment horizontal="center" vertical="bottom" textRotation="0" wrapText="false" indent="0" shrinkToFit="false"/>
      <protection locked="true" hidden="false"/>
    </xf>
    <xf numFmtId="164" fontId="7" fillId="3"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center" textRotation="0" wrapText="false" indent="0" shrinkToFit="false"/>
      <protection locked="true" hidden="false"/>
    </xf>
    <xf numFmtId="165" fontId="9" fillId="5" borderId="1" xfId="0" applyFont="true" applyBorder="true" applyAlignment="true" applyProtection="false">
      <alignment horizontal="center" vertical="bottom" textRotation="0" wrapText="false" indent="0" shrinkToFit="false"/>
      <protection locked="true" hidden="false"/>
    </xf>
    <xf numFmtId="164" fontId="5" fillId="5" borderId="1" xfId="0" applyFont="true" applyBorder="true" applyAlignment="true" applyProtection="false">
      <alignment horizontal="general" vertical="center" textRotation="0" wrapText="false" indent="0" shrinkToFit="false"/>
      <protection locked="true" hidden="false"/>
    </xf>
    <xf numFmtId="164" fontId="5" fillId="5" borderId="0" xfId="0" applyFont="true" applyBorder="false" applyAlignment="true" applyProtection="false">
      <alignment horizontal="general" vertical="top" textRotation="0" wrapText="true" indent="0" shrinkToFit="false"/>
      <protection locked="true" hidden="false"/>
    </xf>
    <xf numFmtId="166" fontId="7" fillId="3"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7" fontId="9" fillId="0" borderId="1" xfId="0" applyFont="true" applyBorder="true" applyAlignment="true" applyProtection="false">
      <alignment horizontal="center" vertical="bottom" textRotation="0" wrapText="false" indent="0" shrinkToFit="false"/>
      <protection locked="true" hidden="false"/>
    </xf>
    <xf numFmtId="168" fontId="9" fillId="0" borderId="1" xfId="0" applyFont="true" applyBorder="true" applyAlignment="true" applyProtection="false">
      <alignment horizontal="center" vertical="bottom" textRotation="0" wrapText="false" indent="0" shrinkToFit="false"/>
      <protection locked="true" hidden="false"/>
    </xf>
    <xf numFmtId="167" fontId="9" fillId="5"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9" fillId="0" borderId="1" xfId="0" applyFont="true" applyBorder="true" applyAlignment="true" applyProtection="false">
      <alignment horizontal="center" vertical="bottom" textRotation="0" wrapText="false" indent="0" shrinkToFit="false"/>
      <protection locked="true" hidden="false"/>
    </xf>
    <xf numFmtId="166" fontId="7" fillId="0" borderId="1" xfId="0" applyFont="true" applyBorder="true" applyAlignment="true" applyProtection="false">
      <alignment horizontal="center" vertical="bottom" textRotation="0" wrapText="false" indent="0" shrinkToFit="false"/>
      <protection locked="true" hidden="false"/>
    </xf>
    <xf numFmtId="165" fontId="9" fillId="0" borderId="1" xfId="0" applyFont="true" applyBorder="true" applyAlignment="true" applyProtection="false">
      <alignment horizontal="center" vertical="bottom" textRotation="0" wrapText="false" indent="0" shrinkToFit="false"/>
      <protection locked="true" hidden="false"/>
    </xf>
    <xf numFmtId="164" fontId="9" fillId="5" borderId="1" xfId="0" applyFont="true" applyBorder="true" applyAlignment="true" applyProtection="false">
      <alignment horizontal="center" vertical="bottom" textRotation="0" wrapText="false" indent="0" shrinkToFit="false"/>
      <protection locked="true" hidden="false"/>
    </xf>
    <xf numFmtId="164" fontId="11" fillId="4" borderId="0"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7ECF5"/>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5" min="2" style="0" width="30"/>
    <col collapsed="false" customWidth="true" hidden="false" outlineLevel="0" max="6" min="6" style="0" width="3"/>
  </cols>
  <sheetData>
    <row r="2" customFormat="false" ht="19.7" hidden="false" customHeight="false" outlineLevel="0" collapsed="false">
      <c r="B2" s="1" t="s">
        <v>0</v>
      </c>
      <c r="C2" s="1"/>
      <c r="D2" s="1"/>
      <c r="E2" s="1"/>
    </row>
    <row r="4" customFormat="false" ht="15" hidden="false" customHeight="true" outlineLevel="0" collapsed="false">
      <c r="B4" s="2" t="s">
        <v>1</v>
      </c>
      <c r="C4" s="2"/>
      <c r="D4" s="2"/>
      <c r="E4" s="2"/>
    </row>
    <row r="5" customFormat="false" ht="15" hidden="false" customHeight="false" outlineLevel="0" collapsed="false">
      <c r="B5" s="2"/>
      <c r="C5" s="2"/>
      <c r="D5" s="2"/>
      <c r="E5" s="2"/>
    </row>
    <row r="6" customFormat="false" ht="15" hidden="false" customHeight="false" outlineLevel="0" collapsed="false">
      <c r="B6" s="2"/>
      <c r="C6" s="2"/>
      <c r="D6" s="2"/>
      <c r="E6" s="2"/>
    </row>
    <row r="8" customFormat="false" ht="15" hidden="false" customHeight="false" outlineLevel="0" collapsed="false">
      <c r="B8" s="3" t="s">
        <v>2</v>
      </c>
      <c r="C8" s="3"/>
      <c r="D8" s="3"/>
      <c r="E8" s="3"/>
    </row>
    <row r="9" customFormat="false" ht="15" hidden="false" customHeight="true" outlineLevel="0" collapsed="false">
      <c r="B9" s="4" t="s">
        <v>3</v>
      </c>
      <c r="C9" s="2" t="s">
        <v>4</v>
      </c>
      <c r="D9" s="2"/>
      <c r="E9" s="2"/>
    </row>
    <row r="10" customFormat="false" ht="23.85" hidden="false" customHeight="true" outlineLevel="0" collapsed="false">
      <c r="B10" s="5" t="s">
        <v>5</v>
      </c>
      <c r="C10" s="2" t="s">
        <v>6</v>
      </c>
      <c r="D10" s="2"/>
      <c r="E10" s="2"/>
    </row>
    <row r="11" customFormat="false" ht="15" hidden="false" customHeight="true" outlineLevel="0" collapsed="false">
      <c r="B11" s="6" t="s">
        <v>7</v>
      </c>
      <c r="C11" s="2" t="s">
        <v>8</v>
      </c>
      <c r="D11" s="2"/>
      <c r="E11" s="2"/>
    </row>
    <row r="13" customFormat="false" ht="15" hidden="false" customHeight="false" outlineLevel="0" collapsed="false">
      <c r="B13" s="3" t="s">
        <v>9</v>
      </c>
      <c r="C13" s="3"/>
      <c r="D13" s="3"/>
      <c r="E13" s="3"/>
    </row>
    <row r="14" customFormat="false" ht="23.85" hidden="false" customHeight="true" outlineLevel="0" collapsed="false">
      <c r="B14" s="7" t="s">
        <v>10</v>
      </c>
      <c r="C14" s="2" t="s">
        <v>11</v>
      </c>
      <c r="D14" s="2"/>
      <c r="E14" s="2"/>
    </row>
    <row r="15" customFormat="false" ht="15" hidden="false" customHeight="true" outlineLevel="0" collapsed="false">
      <c r="B15" s="7" t="s">
        <v>12</v>
      </c>
      <c r="C15" s="2" t="s">
        <v>13</v>
      </c>
      <c r="D15" s="2"/>
      <c r="E15" s="2"/>
    </row>
    <row r="16" customFormat="false" ht="15" hidden="false" customHeight="true" outlineLevel="0" collapsed="false">
      <c r="B16" s="7" t="s">
        <v>14</v>
      </c>
      <c r="C16" s="2" t="s">
        <v>15</v>
      </c>
      <c r="D16" s="2"/>
      <c r="E16" s="2"/>
    </row>
    <row r="17" customFormat="false" ht="15" hidden="false" customHeight="true" outlineLevel="0" collapsed="false">
      <c r="B17" s="7" t="s">
        <v>16</v>
      </c>
      <c r="C17" s="2" t="s">
        <v>17</v>
      </c>
      <c r="D17" s="2"/>
      <c r="E17" s="2"/>
    </row>
    <row r="18" customFormat="false" ht="15" hidden="false" customHeight="true" outlineLevel="0" collapsed="false">
      <c r="B18" s="7" t="s">
        <v>18</v>
      </c>
      <c r="C18" s="2" t="s">
        <v>19</v>
      </c>
      <c r="D18" s="2"/>
      <c r="E18" s="2"/>
    </row>
    <row r="20" customFormat="false" ht="15" hidden="false" customHeight="false" outlineLevel="0" collapsed="false">
      <c r="B20" s="3" t="s">
        <v>20</v>
      </c>
      <c r="C20" s="3"/>
      <c r="D20" s="3"/>
      <c r="E20" s="3"/>
    </row>
    <row r="21" customFormat="false" ht="15" hidden="false" customHeight="true" outlineLevel="0" collapsed="false">
      <c r="B21" s="2" t="s">
        <v>21</v>
      </c>
      <c r="C21" s="2"/>
      <c r="D21" s="2"/>
      <c r="E21" s="2"/>
    </row>
    <row r="22" customFormat="false" ht="15" hidden="false" customHeight="false" outlineLevel="0" collapsed="false">
      <c r="B22" s="2"/>
      <c r="C22" s="2"/>
      <c r="D22" s="2"/>
      <c r="E22" s="2"/>
    </row>
    <row r="23" customFormat="false" ht="15" hidden="false" customHeight="false" outlineLevel="0" collapsed="false">
      <c r="B23" s="2"/>
      <c r="C23" s="2"/>
      <c r="D23" s="2"/>
      <c r="E23" s="2"/>
    </row>
    <row r="24" customFormat="false" ht="15" hidden="false" customHeight="false" outlineLevel="0" collapsed="false">
      <c r="B24" s="2"/>
      <c r="C24" s="2"/>
      <c r="D24" s="2"/>
      <c r="E24" s="2"/>
    </row>
  </sheetData>
  <mergeCells count="14">
    <mergeCell ref="B2:E2"/>
    <mergeCell ref="B4:E6"/>
    <mergeCell ref="B8:E8"/>
    <mergeCell ref="C9:E9"/>
    <mergeCell ref="C10:E10"/>
    <mergeCell ref="C11:E11"/>
    <mergeCell ref="B13:E13"/>
    <mergeCell ref="C14:E14"/>
    <mergeCell ref="C15:E15"/>
    <mergeCell ref="C16:E16"/>
    <mergeCell ref="C17:E17"/>
    <mergeCell ref="C18:E18"/>
    <mergeCell ref="B20:E20"/>
    <mergeCell ref="B21:E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4" min="2" style="0" width="12"/>
    <col collapsed="false" customWidth="true" hidden="false" outlineLevel="0" max="5" min="5" style="0" width="46"/>
  </cols>
  <sheetData>
    <row r="1" customFormat="false" ht="19.7" hidden="false" customHeight="false" outlineLevel="0" collapsed="false">
      <c r="A1" s="1" t="s">
        <v>22</v>
      </c>
      <c r="B1" s="1"/>
      <c r="C1" s="1"/>
      <c r="D1" s="1"/>
      <c r="E1" s="1"/>
    </row>
    <row r="3" customFormat="false" ht="15" hidden="false" customHeight="false" outlineLevel="0" collapsed="false">
      <c r="A3" s="8" t="s">
        <v>23</v>
      </c>
      <c r="B3" s="8" t="s">
        <v>24</v>
      </c>
      <c r="C3" s="8" t="s">
        <v>25</v>
      </c>
      <c r="D3" s="8" t="s">
        <v>26</v>
      </c>
      <c r="E3" s="8" t="s">
        <v>27</v>
      </c>
    </row>
    <row r="4" customFormat="false" ht="23.85" hidden="false" customHeight="false" outlineLevel="0" collapsed="false">
      <c r="A4" s="9" t="s">
        <v>12</v>
      </c>
      <c r="B4" s="10" t="n">
        <v>0.2</v>
      </c>
      <c r="C4" s="11" t="n">
        <v>10</v>
      </c>
      <c r="D4" s="11" t="n">
        <v>2</v>
      </c>
      <c r="E4" s="12" t="s">
        <v>28</v>
      </c>
    </row>
    <row r="5" customFormat="false" ht="15" hidden="false" customHeight="false" outlineLevel="0" collapsed="false">
      <c r="A5" s="9" t="s">
        <v>14</v>
      </c>
      <c r="B5" s="10" t="n">
        <v>0.15</v>
      </c>
      <c r="C5" s="11" t="n">
        <v>8</v>
      </c>
      <c r="D5" s="11" t="n">
        <v>1</v>
      </c>
      <c r="E5" s="12" t="s">
        <v>29</v>
      </c>
    </row>
    <row r="6" customFormat="false" ht="23.85" hidden="false" customHeight="false" outlineLevel="0" collapsed="false">
      <c r="A6" s="9" t="s">
        <v>30</v>
      </c>
      <c r="B6" s="10" t="n">
        <v>0.15</v>
      </c>
      <c r="C6" s="11" t="n">
        <v>1</v>
      </c>
      <c r="D6" s="11" t="n">
        <v>0</v>
      </c>
      <c r="E6" s="12" t="s">
        <v>31</v>
      </c>
    </row>
    <row r="7" customFormat="false" ht="23.85" hidden="false" customHeight="false" outlineLevel="0" collapsed="false">
      <c r="A7" s="9" t="s">
        <v>32</v>
      </c>
      <c r="B7" s="10" t="n">
        <v>0.15</v>
      </c>
      <c r="C7" s="11" t="n">
        <v>1</v>
      </c>
      <c r="D7" s="11" t="n">
        <v>0</v>
      </c>
      <c r="E7" s="12" t="s">
        <v>31</v>
      </c>
    </row>
    <row r="8" customFormat="false" ht="23.85" hidden="false" customHeight="false" outlineLevel="0" collapsed="false">
      <c r="A8" s="9" t="s">
        <v>33</v>
      </c>
      <c r="B8" s="10" t="n">
        <v>0.35</v>
      </c>
      <c r="C8" s="11" t="n">
        <v>1</v>
      </c>
      <c r="D8" s="11" t="n">
        <v>0</v>
      </c>
      <c r="E8" s="12" t="s">
        <v>34</v>
      </c>
    </row>
    <row r="9" customFormat="false" ht="15" hidden="false" customHeight="false" outlineLevel="0" collapsed="false">
      <c r="A9" s="13" t="s">
        <v>35</v>
      </c>
      <c r="B9" s="14" t="n">
        <f aca="false">SUM(B4:B8)</f>
        <v>1</v>
      </c>
      <c r="C9" s="15"/>
      <c r="D9" s="15"/>
      <c r="E9" s="16" t="s">
        <v>36</v>
      </c>
    </row>
    <row r="11" customFormat="false" ht="15" hidden="false" customHeight="false" outlineLevel="0" collapsed="false">
      <c r="A11" s="3" t="s">
        <v>37</v>
      </c>
      <c r="B11" s="3"/>
      <c r="C11" s="3"/>
      <c r="D11" s="3"/>
      <c r="E11" s="3"/>
    </row>
    <row r="12" customFormat="false" ht="23.85" hidden="false" customHeight="true" outlineLevel="0" collapsed="false">
      <c r="A12" s="9" t="s">
        <v>38</v>
      </c>
      <c r="B12" s="17" t="n">
        <v>3</v>
      </c>
      <c r="C12" s="2" t="s">
        <v>39</v>
      </c>
      <c r="D12" s="2"/>
      <c r="E12" s="2"/>
    </row>
    <row r="15" customFormat="false" ht="15" hidden="false" customHeight="false" outlineLevel="0" collapsed="false">
      <c r="A15" s="3" t="s">
        <v>40</v>
      </c>
      <c r="B15" s="3"/>
      <c r="C15" s="3"/>
      <c r="D15" s="3"/>
      <c r="E15" s="3"/>
    </row>
    <row r="16" customFormat="false" ht="15" hidden="false" customHeight="true" outlineLevel="0" collapsed="false">
      <c r="A16" s="2" t="s">
        <v>41</v>
      </c>
      <c r="B16" s="2"/>
      <c r="C16" s="2"/>
      <c r="D16" s="2"/>
      <c r="E16" s="2"/>
    </row>
    <row r="17" customFormat="false" ht="15" hidden="false" customHeight="false" outlineLevel="0" collapsed="false">
      <c r="A17" s="2"/>
      <c r="B17" s="2"/>
      <c r="C17" s="2"/>
      <c r="D17" s="2"/>
      <c r="E17" s="2"/>
    </row>
    <row r="19" customFormat="false" ht="15" hidden="false" customHeight="false" outlineLevel="0" collapsed="false">
      <c r="A19" s="3" t="s">
        <v>42</v>
      </c>
      <c r="B19" s="3"/>
      <c r="C19" s="3"/>
      <c r="D19" s="3"/>
      <c r="E19" s="3"/>
    </row>
    <row r="20" customFormat="false" ht="15" hidden="false" customHeight="false" outlineLevel="0" collapsed="false">
      <c r="A20" s="8" t="s">
        <v>43</v>
      </c>
      <c r="B20" s="8" t="s">
        <v>44</v>
      </c>
      <c r="C20" s="8"/>
      <c r="D20" s="8"/>
      <c r="E20" s="8"/>
    </row>
    <row r="21" customFormat="false" ht="15" hidden="false" customHeight="false" outlineLevel="0" collapsed="false">
      <c r="A21" s="10" t="n">
        <v>0</v>
      </c>
      <c r="B21" s="11" t="s">
        <v>45</v>
      </c>
    </row>
    <row r="22" customFormat="false" ht="15" hidden="false" customHeight="false" outlineLevel="0" collapsed="false">
      <c r="A22" s="10" t="n">
        <v>0.6</v>
      </c>
      <c r="B22" s="11" t="s">
        <v>46</v>
      </c>
    </row>
    <row r="23" customFormat="false" ht="15" hidden="false" customHeight="false" outlineLevel="0" collapsed="false">
      <c r="A23" s="10" t="n">
        <v>0.7</v>
      </c>
      <c r="B23" s="11" t="s">
        <v>47</v>
      </c>
    </row>
    <row r="24" customFormat="false" ht="15" hidden="false" customHeight="false" outlineLevel="0" collapsed="false">
      <c r="A24" s="10" t="n">
        <v>0.73</v>
      </c>
      <c r="B24" s="11" t="s">
        <v>48</v>
      </c>
    </row>
    <row r="25" customFormat="false" ht="15" hidden="false" customHeight="false" outlineLevel="0" collapsed="false">
      <c r="A25" s="10" t="n">
        <v>0.77</v>
      </c>
      <c r="B25" s="11" t="s">
        <v>49</v>
      </c>
    </row>
    <row r="26" customFormat="false" ht="15" hidden="false" customHeight="false" outlineLevel="0" collapsed="false">
      <c r="A26" s="10" t="n">
        <v>0.8</v>
      </c>
      <c r="B26" s="11" t="s">
        <v>50</v>
      </c>
    </row>
    <row r="27" customFormat="false" ht="15" hidden="false" customHeight="false" outlineLevel="0" collapsed="false">
      <c r="A27" s="10" t="n">
        <v>0.83</v>
      </c>
      <c r="B27" s="11" t="s">
        <v>51</v>
      </c>
    </row>
    <row r="28" customFormat="false" ht="15" hidden="false" customHeight="false" outlineLevel="0" collapsed="false">
      <c r="A28" s="10" t="n">
        <v>0.87</v>
      </c>
      <c r="B28" s="11" t="s">
        <v>52</v>
      </c>
    </row>
    <row r="29" customFormat="false" ht="15" hidden="false" customHeight="false" outlineLevel="0" collapsed="false">
      <c r="A29" s="10" t="n">
        <v>0.9</v>
      </c>
      <c r="B29" s="11" t="s">
        <v>53</v>
      </c>
    </row>
    <row r="30" customFormat="false" ht="15" hidden="false" customHeight="false" outlineLevel="0" collapsed="false">
      <c r="A30" s="10" t="n">
        <v>0.93</v>
      </c>
      <c r="B30" s="11" t="s">
        <v>54</v>
      </c>
    </row>
  </sheetData>
  <mergeCells count="6">
    <mergeCell ref="A1:E1"/>
    <mergeCell ref="A11:E11"/>
    <mergeCell ref="C12:E12"/>
    <mergeCell ref="A15:E15"/>
    <mergeCell ref="A16:E17"/>
    <mergeCell ref="A19:E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0"/>
    <col collapsed="false" customWidth="true" hidden="false" outlineLevel="0" max="3" min="3" style="0" width="12"/>
    <col collapsed="false" customWidth="true" hidden="false" outlineLevel="0" max="4" min="4" style="0" width="13"/>
    <col collapsed="false" customWidth="true" hidden="false" outlineLevel="0" max="5" min="5" style="0" width="11"/>
    <col collapsed="false" customWidth="true" hidden="false" outlineLevel="0" max="6" min="6" style="0" width="13"/>
    <col collapsed="false" customWidth="true" hidden="false" outlineLevel="0" max="7" min="7" style="0" width="11"/>
  </cols>
  <sheetData>
    <row r="1" customFormat="false" ht="19.7" hidden="false" customHeight="false" outlineLevel="0" collapsed="false">
      <c r="A1" s="1" t="s">
        <v>55</v>
      </c>
      <c r="B1" s="1"/>
      <c r="C1" s="1"/>
      <c r="D1" s="1"/>
      <c r="E1" s="1"/>
      <c r="F1" s="1"/>
      <c r="G1" s="1"/>
    </row>
    <row r="3" customFormat="false" ht="23.85" hidden="false" customHeight="false" outlineLevel="0" collapsed="false">
      <c r="A3" s="8" t="s">
        <v>56</v>
      </c>
      <c r="B3" s="8" t="s">
        <v>57</v>
      </c>
      <c r="C3" s="8" t="s">
        <v>58</v>
      </c>
      <c r="D3" s="8" t="s">
        <v>59</v>
      </c>
      <c r="E3" s="8" t="s">
        <v>60</v>
      </c>
      <c r="F3" s="8" t="s">
        <v>61</v>
      </c>
      <c r="G3" s="8" t="s">
        <v>62</v>
      </c>
    </row>
    <row r="4" customFormat="false" ht="15" hidden="false" customHeight="false" outlineLevel="0" collapsed="false">
      <c r="A4" s="18" t="n">
        <v>1</v>
      </c>
      <c r="B4" s="9" t="s">
        <v>63</v>
      </c>
      <c r="C4" s="19" t="n">
        <v>20</v>
      </c>
      <c r="D4" s="19" t="n">
        <v>18</v>
      </c>
      <c r="E4" s="20" t="n">
        <f aca="false">D4/C4</f>
        <v>0.9</v>
      </c>
      <c r="F4" s="21" t="n">
        <f aca="false">RANK(E4,$E$4:$E$13,1)</f>
        <v>8</v>
      </c>
      <c r="G4" s="21" t="str">
        <f aca="false">IF(F4&lt;='Grading Policy'!$D$4,"Dropped","Counted")</f>
        <v>Counted</v>
      </c>
    </row>
    <row r="5" customFormat="false" ht="15" hidden="false" customHeight="false" outlineLevel="0" collapsed="false">
      <c r="A5" s="18" t="n">
        <v>2</v>
      </c>
      <c r="B5" s="9" t="s">
        <v>64</v>
      </c>
      <c r="C5" s="19" t="n">
        <v>20</v>
      </c>
      <c r="D5" s="19" t="n">
        <v>15</v>
      </c>
      <c r="E5" s="20" t="n">
        <f aca="false">D5/C5</f>
        <v>0.75</v>
      </c>
      <c r="F5" s="21" t="n">
        <f aca="false">RANK(E5,$E$4:$E$13,1)</f>
        <v>3</v>
      </c>
      <c r="G5" s="21" t="str">
        <f aca="false">IF(F5&lt;='Grading Policy'!$D$4,"Dropped","Counted")</f>
        <v>Counted</v>
      </c>
    </row>
    <row r="6" customFormat="false" ht="15" hidden="false" customHeight="false" outlineLevel="0" collapsed="false">
      <c r="A6" s="18" t="n">
        <v>3</v>
      </c>
      <c r="B6" s="9" t="s">
        <v>65</v>
      </c>
      <c r="C6" s="19" t="n">
        <v>25</v>
      </c>
      <c r="D6" s="19" t="n">
        <v>23</v>
      </c>
      <c r="E6" s="20" t="n">
        <f aca="false">D6/C6</f>
        <v>0.92</v>
      </c>
      <c r="F6" s="21" t="n">
        <f aca="false">RANK(E6,$E$4:$E$13,1)</f>
        <v>9</v>
      </c>
      <c r="G6" s="21" t="str">
        <f aca="false">IF(F6&lt;='Grading Policy'!$D$4,"Dropped","Counted")</f>
        <v>Counted</v>
      </c>
    </row>
    <row r="7" customFormat="false" ht="15" hidden="false" customHeight="false" outlineLevel="0" collapsed="false">
      <c r="A7" s="18" t="n">
        <v>4</v>
      </c>
      <c r="B7" s="9" t="s">
        <v>66</v>
      </c>
      <c r="C7" s="19" t="n">
        <v>25</v>
      </c>
      <c r="D7" s="19" t="n">
        <v>20</v>
      </c>
      <c r="E7" s="20" t="n">
        <f aca="false">D7/C7</f>
        <v>0.8</v>
      </c>
      <c r="F7" s="21" t="n">
        <f aca="false">RANK(E7,$E$4:$E$13,1)</f>
        <v>4</v>
      </c>
      <c r="G7" s="21" t="str">
        <f aca="false">IF(F7&lt;='Grading Policy'!$D$4,"Dropped","Counted")</f>
        <v>Counted</v>
      </c>
    </row>
    <row r="8" customFormat="false" ht="15" hidden="false" customHeight="false" outlineLevel="0" collapsed="false">
      <c r="A8" s="18" t="n">
        <v>5</v>
      </c>
      <c r="B8" s="9" t="s">
        <v>67</v>
      </c>
      <c r="C8" s="19" t="n">
        <v>20</v>
      </c>
      <c r="D8" s="19" t="n">
        <v>12</v>
      </c>
      <c r="E8" s="20" t="n">
        <f aca="false">D8/C8</f>
        <v>0.6</v>
      </c>
      <c r="F8" s="21" t="n">
        <f aca="false">RANK(E8,$E$4:$E$13,1)</f>
        <v>2</v>
      </c>
      <c r="G8" s="21" t="str">
        <f aca="false">IF(F8&lt;='Grading Policy'!$D$4,"Dropped","Counted")</f>
        <v>Dropped</v>
      </c>
    </row>
    <row r="9" customFormat="false" ht="15" hidden="false" customHeight="false" outlineLevel="0" collapsed="false">
      <c r="A9" s="18" t="n">
        <v>6</v>
      </c>
      <c r="B9" s="9" t="s">
        <v>68</v>
      </c>
      <c r="C9" s="19" t="n">
        <v>30</v>
      </c>
      <c r="D9" s="19" t="n">
        <v>25</v>
      </c>
      <c r="E9" s="20" t="n">
        <f aca="false">D9/C9</f>
        <v>0.833333333333333</v>
      </c>
      <c r="F9" s="21" t="n">
        <f aca="false">RANK(E9,$E$4:$E$13,1)</f>
        <v>5</v>
      </c>
      <c r="G9" s="21" t="str">
        <f aca="false">IF(F9&lt;='Grading Policy'!$D$4,"Dropped","Counted")</f>
        <v>Counted</v>
      </c>
    </row>
    <row r="10" customFormat="false" ht="15" hidden="false" customHeight="false" outlineLevel="0" collapsed="false">
      <c r="A10" s="18" t="n">
        <v>7</v>
      </c>
      <c r="B10" s="9" t="s">
        <v>69</v>
      </c>
      <c r="C10" s="19" t="n">
        <v>20</v>
      </c>
      <c r="D10" s="19" t="n">
        <v>19</v>
      </c>
      <c r="E10" s="20" t="n">
        <f aca="false">D10/C10</f>
        <v>0.95</v>
      </c>
      <c r="F10" s="21" t="n">
        <f aca="false">RANK(E10,$E$4:$E$13,1)</f>
        <v>10</v>
      </c>
      <c r="G10" s="21" t="str">
        <f aca="false">IF(F10&lt;='Grading Policy'!$D$4,"Dropped","Counted")</f>
        <v>Counted</v>
      </c>
    </row>
    <row r="11" customFormat="false" ht="15" hidden="false" customHeight="false" outlineLevel="0" collapsed="false">
      <c r="A11" s="18" t="n">
        <v>8</v>
      </c>
      <c r="B11" s="9" t="s">
        <v>70</v>
      </c>
      <c r="C11" s="19" t="n">
        <v>25</v>
      </c>
      <c r="D11" s="19" t="n">
        <v>14</v>
      </c>
      <c r="E11" s="20" t="n">
        <f aca="false">D11/C11</f>
        <v>0.56</v>
      </c>
      <c r="F11" s="21" t="n">
        <f aca="false">RANK(E11,$E$4:$E$13,1)</f>
        <v>1</v>
      </c>
      <c r="G11" s="21" t="str">
        <f aca="false">IF(F11&lt;='Grading Policy'!$D$4,"Dropped","Counted")</f>
        <v>Dropped</v>
      </c>
    </row>
    <row r="12" customFormat="false" ht="15" hidden="false" customHeight="false" outlineLevel="0" collapsed="false">
      <c r="A12" s="18" t="n">
        <v>9</v>
      </c>
      <c r="B12" s="9" t="s">
        <v>71</v>
      </c>
      <c r="C12" s="19" t="n">
        <v>30</v>
      </c>
      <c r="D12" s="19" t="n">
        <v>26</v>
      </c>
      <c r="E12" s="20" t="n">
        <f aca="false">D12/C12</f>
        <v>0.866666666666667</v>
      </c>
      <c r="F12" s="21" t="n">
        <f aca="false">RANK(E12,$E$4:$E$13,1)</f>
        <v>7</v>
      </c>
      <c r="G12" s="21" t="str">
        <f aca="false">IF(F12&lt;='Grading Policy'!$D$4,"Dropped","Counted")</f>
        <v>Counted</v>
      </c>
    </row>
    <row r="13" customFormat="false" ht="15" hidden="false" customHeight="false" outlineLevel="0" collapsed="false">
      <c r="A13" s="18" t="n">
        <v>10</v>
      </c>
      <c r="B13" s="9" t="s">
        <v>72</v>
      </c>
      <c r="C13" s="19" t="n">
        <v>20</v>
      </c>
      <c r="D13" s="19" t="n">
        <v>17</v>
      </c>
      <c r="E13" s="20" t="n">
        <f aca="false">D13/C13</f>
        <v>0.85</v>
      </c>
      <c r="F13" s="21" t="n">
        <f aca="false">RANK(E13,$E$4:$E$13,1)</f>
        <v>6</v>
      </c>
      <c r="G13" s="21" t="str">
        <f aca="false">IF(F13&lt;='Grading Policy'!$D$4,"Dropped","Counted")</f>
        <v>Counted</v>
      </c>
    </row>
    <row r="15" customFormat="false" ht="15" hidden="false" customHeight="false" outlineLevel="0" collapsed="false">
      <c r="A15" s="13" t="s">
        <v>73</v>
      </c>
      <c r="B15" s="15"/>
      <c r="C15" s="15"/>
      <c r="D15" s="15"/>
      <c r="E15" s="22" t="n">
        <f aca="false">AVERAGEIF(G4:G13,"Counted",E4:E13)</f>
        <v>0.85875</v>
      </c>
      <c r="F15" s="15"/>
      <c r="G15" s="15"/>
    </row>
    <row r="17" customFormat="false" ht="15" hidden="false" customHeight="false" outlineLevel="0" collapsed="false">
      <c r="A17" s="23" t="s">
        <v>74</v>
      </c>
      <c r="B17" s="21" t="n">
        <f aca="false">'Grading Policy'!D4</f>
        <v>2</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0"/>
    <col collapsed="false" customWidth="true" hidden="false" outlineLevel="0" max="3" min="3" style="0" width="12"/>
    <col collapsed="false" customWidth="true" hidden="false" outlineLevel="0" max="4" min="4" style="0" width="13"/>
    <col collapsed="false" customWidth="true" hidden="false" outlineLevel="0" max="5" min="5" style="0" width="11"/>
    <col collapsed="false" customWidth="true" hidden="false" outlineLevel="0" max="6" min="6" style="0" width="13"/>
    <col collapsed="false" customWidth="true" hidden="false" outlineLevel="0" max="7" min="7" style="0" width="11"/>
  </cols>
  <sheetData>
    <row r="1" customFormat="false" ht="19.7" hidden="false" customHeight="false" outlineLevel="0" collapsed="false">
      <c r="A1" s="1" t="s">
        <v>75</v>
      </c>
      <c r="B1" s="1"/>
      <c r="C1" s="1"/>
      <c r="D1" s="1"/>
      <c r="E1" s="1"/>
      <c r="F1" s="1"/>
      <c r="G1" s="1"/>
    </row>
    <row r="3" customFormat="false" ht="23.85" hidden="false" customHeight="false" outlineLevel="0" collapsed="false">
      <c r="A3" s="8" t="s">
        <v>56</v>
      </c>
      <c r="B3" s="8" t="s">
        <v>76</v>
      </c>
      <c r="C3" s="8" t="s">
        <v>58</v>
      </c>
      <c r="D3" s="8" t="s">
        <v>59</v>
      </c>
      <c r="E3" s="8" t="s">
        <v>60</v>
      </c>
      <c r="F3" s="8" t="s">
        <v>61</v>
      </c>
      <c r="G3" s="8" t="s">
        <v>62</v>
      </c>
    </row>
    <row r="4" customFormat="false" ht="15" hidden="false" customHeight="false" outlineLevel="0" collapsed="false">
      <c r="A4" s="18" t="n">
        <v>1</v>
      </c>
      <c r="B4" s="9" t="s">
        <v>77</v>
      </c>
      <c r="C4" s="19" t="n">
        <v>10</v>
      </c>
      <c r="D4" s="19" t="n">
        <v>9</v>
      </c>
      <c r="E4" s="20" t="n">
        <f aca="false">D4/C4</f>
        <v>0.9</v>
      </c>
      <c r="F4" s="21" t="n">
        <f aca="false">RANK(E4,$E$4:$E$11,1)</f>
        <v>6</v>
      </c>
      <c r="G4" s="21" t="str">
        <f aca="false">IF(F4&lt;='Grading Policy'!$D$5,"Dropped","Counted")</f>
        <v>Counted</v>
      </c>
    </row>
    <row r="5" customFormat="false" ht="15" hidden="false" customHeight="false" outlineLevel="0" collapsed="false">
      <c r="A5" s="18" t="n">
        <v>2</v>
      </c>
      <c r="B5" s="9" t="s">
        <v>78</v>
      </c>
      <c r="C5" s="19" t="n">
        <v>10</v>
      </c>
      <c r="D5" s="19" t="n">
        <v>7</v>
      </c>
      <c r="E5" s="20" t="n">
        <f aca="false">D5/C5</f>
        <v>0.7</v>
      </c>
      <c r="F5" s="21" t="n">
        <f aca="false">RANK(E5,$E$4:$E$11,1)</f>
        <v>2</v>
      </c>
      <c r="G5" s="21" t="str">
        <f aca="false">IF(F5&lt;='Grading Policy'!$D$5,"Dropped","Counted")</f>
        <v>Counted</v>
      </c>
    </row>
    <row r="6" customFormat="false" ht="15" hidden="false" customHeight="false" outlineLevel="0" collapsed="false">
      <c r="A6" s="18" t="n">
        <v>3</v>
      </c>
      <c r="B6" s="9" t="s">
        <v>79</v>
      </c>
      <c r="C6" s="19" t="n">
        <v>10</v>
      </c>
      <c r="D6" s="19" t="n">
        <v>8</v>
      </c>
      <c r="E6" s="20" t="n">
        <f aca="false">D6/C6</f>
        <v>0.8</v>
      </c>
      <c r="F6" s="21" t="n">
        <f aca="false">RANK(E6,$E$4:$E$11,1)</f>
        <v>4</v>
      </c>
      <c r="G6" s="21" t="str">
        <f aca="false">IF(F6&lt;='Grading Policy'!$D$5,"Dropped","Counted")</f>
        <v>Counted</v>
      </c>
    </row>
    <row r="7" customFormat="false" ht="15" hidden="false" customHeight="false" outlineLevel="0" collapsed="false">
      <c r="A7" s="18" t="n">
        <v>4</v>
      </c>
      <c r="B7" s="9" t="s">
        <v>80</v>
      </c>
      <c r="C7" s="19" t="n">
        <v>10</v>
      </c>
      <c r="D7" s="19" t="n">
        <v>10</v>
      </c>
      <c r="E7" s="20" t="n">
        <f aca="false">D7/C7</f>
        <v>1</v>
      </c>
      <c r="F7" s="21" t="n">
        <f aca="false">RANK(E7,$E$4:$E$11,1)</f>
        <v>8</v>
      </c>
      <c r="G7" s="21" t="str">
        <f aca="false">IF(F7&lt;='Grading Policy'!$D$5,"Dropped","Counted")</f>
        <v>Counted</v>
      </c>
    </row>
    <row r="8" customFormat="false" ht="15" hidden="false" customHeight="false" outlineLevel="0" collapsed="false">
      <c r="A8" s="18" t="n">
        <v>5</v>
      </c>
      <c r="B8" s="9" t="s">
        <v>81</v>
      </c>
      <c r="C8" s="19" t="n">
        <v>10</v>
      </c>
      <c r="D8" s="19" t="n">
        <v>6</v>
      </c>
      <c r="E8" s="20" t="n">
        <f aca="false">D8/C8</f>
        <v>0.6</v>
      </c>
      <c r="F8" s="21" t="n">
        <f aca="false">RANK(E8,$E$4:$E$11,1)</f>
        <v>1</v>
      </c>
      <c r="G8" s="21" t="str">
        <f aca="false">IF(F8&lt;='Grading Policy'!$D$5,"Dropped","Counted")</f>
        <v>Dropped</v>
      </c>
    </row>
    <row r="9" customFormat="false" ht="15" hidden="false" customHeight="false" outlineLevel="0" collapsed="false">
      <c r="A9" s="18" t="n">
        <v>6</v>
      </c>
      <c r="B9" s="9" t="s">
        <v>82</v>
      </c>
      <c r="C9" s="19" t="n">
        <v>10</v>
      </c>
      <c r="D9" s="19" t="n">
        <v>8.5</v>
      </c>
      <c r="E9" s="20" t="n">
        <f aca="false">D9/C9</f>
        <v>0.85</v>
      </c>
      <c r="F9" s="21" t="n">
        <f aca="false">RANK(E9,$E$4:$E$11,1)</f>
        <v>5</v>
      </c>
      <c r="G9" s="21" t="str">
        <f aca="false">IF(F9&lt;='Grading Policy'!$D$5,"Dropped","Counted")</f>
        <v>Counted</v>
      </c>
    </row>
    <row r="10" customFormat="false" ht="15" hidden="false" customHeight="false" outlineLevel="0" collapsed="false">
      <c r="A10" s="18" t="n">
        <v>7</v>
      </c>
      <c r="B10" s="9" t="s">
        <v>83</v>
      </c>
      <c r="C10" s="19" t="n">
        <v>10</v>
      </c>
      <c r="D10" s="19" t="n">
        <v>7.5</v>
      </c>
      <c r="E10" s="20" t="n">
        <f aca="false">D10/C10</f>
        <v>0.75</v>
      </c>
      <c r="F10" s="21" t="n">
        <f aca="false">RANK(E10,$E$4:$E$11,1)</f>
        <v>3</v>
      </c>
      <c r="G10" s="21" t="str">
        <f aca="false">IF(F10&lt;='Grading Policy'!$D$5,"Dropped","Counted")</f>
        <v>Counted</v>
      </c>
    </row>
    <row r="11" customFormat="false" ht="15" hidden="false" customHeight="false" outlineLevel="0" collapsed="false">
      <c r="A11" s="18" t="n">
        <v>8</v>
      </c>
      <c r="B11" s="9" t="s">
        <v>84</v>
      </c>
      <c r="C11" s="19" t="n">
        <v>10</v>
      </c>
      <c r="D11" s="19" t="n">
        <v>9.5</v>
      </c>
      <c r="E11" s="20" t="n">
        <f aca="false">D11/C11</f>
        <v>0.95</v>
      </c>
      <c r="F11" s="21" t="n">
        <f aca="false">RANK(E11,$E$4:$E$11,1)</f>
        <v>7</v>
      </c>
      <c r="G11" s="21" t="str">
        <f aca="false">IF(F11&lt;='Grading Policy'!$D$5,"Dropped","Counted")</f>
        <v>Counted</v>
      </c>
    </row>
    <row r="13" customFormat="false" ht="15" hidden="false" customHeight="false" outlineLevel="0" collapsed="false">
      <c r="A13" s="13" t="s">
        <v>73</v>
      </c>
      <c r="B13" s="15"/>
      <c r="C13" s="15"/>
      <c r="D13" s="15"/>
      <c r="E13" s="22" t="n">
        <f aca="false">AVERAGEIF(G4:G11,"Counted",E4:E11)</f>
        <v>0.85</v>
      </c>
      <c r="F13" s="15"/>
      <c r="G13" s="15"/>
    </row>
    <row r="15" customFormat="false" ht="15" hidden="false" customHeight="false" outlineLevel="0" collapsed="false">
      <c r="A15" s="23" t="s">
        <v>74</v>
      </c>
      <c r="B15" s="21" t="n">
        <f aca="false">'Grading Policy'!D5</f>
        <v>1</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3"/>
    <col collapsed="false" customWidth="true" hidden="false" outlineLevel="0" max="3" min="3" style="0" width="15"/>
    <col collapsed="false" customWidth="true" hidden="false" outlineLevel="0" max="4" min="4" style="0" width="11"/>
  </cols>
  <sheetData>
    <row r="1" customFormat="false" ht="19.7" hidden="false" customHeight="false" outlineLevel="0" collapsed="false">
      <c r="A1" s="1" t="s">
        <v>85</v>
      </c>
      <c r="B1" s="1"/>
      <c r="C1" s="1"/>
      <c r="D1" s="1"/>
    </row>
    <row r="3" customFormat="false" ht="15" hidden="false" customHeight="false" outlineLevel="0" collapsed="false">
      <c r="A3" s="8" t="s">
        <v>86</v>
      </c>
      <c r="B3" s="8" t="s">
        <v>58</v>
      </c>
      <c r="C3" s="8" t="s">
        <v>59</v>
      </c>
      <c r="D3" s="8" t="s">
        <v>60</v>
      </c>
    </row>
    <row r="4" customFormat="false" ht="15" hidden="false" customHeight="false" outlineLevel="0" collapsed="false">
      <c r="A4" s="9" t="s">
        <v>30</v>
      </c>
      <c r="B4" s="19" t="n">
        <v>100</v>
      </c>
      <c r="C4" s="19" t="n">
        <v>78</v>
      </c>
      <c r="D4" s="20" t="n">
        <f aca="false">C4/B4</f>
        <v>0.78</v>
      </c>
    </row>
    <row r="5" customFormat="false" ht="15" hidden="false" customHeight="false" outlineLevel="0" collapsed="false">
      <c r="A5" s="9" t="s">
        <v>32</v>
      </c>
      <c r="B5" s="19" t="n">
        <v>100</v>
      </c>
      <c r="C5" s="19" t="n">
        <v>82</v>
      </c>
      <c r="D5" s="20" t="n">
        <f aca="false">C5/B5</f>
        <v>0.82</v>
      </c>
    </row>
    <row r="6" customFormat="false" ht="15" hidden="false" customHeight="false" outlineLevel="0" collapsed="false">
      <c r="A6" s="9" t="s">
        <v>33</v>
      </c>
      <c r="B6" s="19" t="n">
        <v>100</v>
      </c>
      <c r="C6" s="19" t="n">
        <v>90</v>
      </c>
      <c r="D6" s="20" t="n">
        <f aca="false">C6/B6</f>
        <v>0.9</v>
      </c>
    </row>
    <row r="8" customFormat="false" ht="15" hidden="false" customHeight="false" outlineLevel="0" collapsed="false">
      <c r="A8" s="3" t="s">
        <v>87</v>
      </c>
      <c r="B8" s="3"/>
      <c r="C8" s="3"/>
      <c r="D8" s="3"/>
    </row>
    <row r="9" customFormat="false" ht="23.85" hidden="false" customHeight="false" outlineLevel="0" collapsed="false">
      <c r="A9" s="8"/>
      <c r="B9" s="8" t="s">
        <v>88</v>
      </c>
      <c r="C9" s="8" t="s">
        <v>89</v>
      </c>
      <c r="D9" s="8"/>
    </row>
    <row r="10" customFormat="false" ht="15" hidden="false" customHeight="false" outlineLevel="0" collapsed="false">
      <c r="A10" s="9" t="s">
        <v>90</v>
      </c>
      <c r="B10" s="24" t="n">
        <f aca="false">'Grading Policy'!B12</f>
        <v>3</v>
      </c>
      <c r="C10" s="25" t="n">
        <v>2.5</v>
      </c>
      <c r="D10" s="9"/>
    </row>
  </sheetData>
  <mergeCells count="2">
    <mergeCell ref="A1:D1"/>
    <mergeCell ref="A8:D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4"/>
    <col collapsed="false" customWidth="true" hidden="false" outlineLevel="0" max="3" min="3" style="0" width="16"/>
    <col collapsed="false" customWidth="true" hidden="false" outlineLevel="0" max="4" min="4" style="0" width="20"/>
  </cols>
  <sheetData>
    <row r="1" customFormat="false" ht="19.7" hidden="false" customHeight="false" outlineLevel="0" collapsed="false">
      <c r="A1" s="1" t="s">
        <v>18</v>
      </c>
      <c r="B1" s="1"/>
      <c r="C1" s="1"/>
      <c r="D1" s="1"/>
    </row>
    <row r="3" customFormat="false" ht="15" hidden="false" customHeight="false" outlineLevel="0" collapsed="false">
      <c r="A3" s="3" t="s">
        <v>91</v>
      </c>
      <c r="B3" s="3"/>
      <c r="C3" s="3"/>
      <c r="D3" s="3"/>
    </row>
    <row r="4" customFormat="false" ht="15" hidden="false" customHeight="false" outlineLevel="0" collapsed="false">
      <c r="A4" s="9" t="s">
        <v>92</v>
      </c>
      <c r="B4" s="20" t="n">
        <f aca="false">Assignments!E15</f>
        <v>0.85875</v>
      </c>
      <c r="C4" s="9"/>
      <c r="D4" s="9"/>
    </row>
    <row r="5" customFormat="false" ht="15" hidden="false" customHeight="false" outlineLevel="0" collapsed="false">
      <c r="A5" s="9" t="s">
        <v>93</v>
      </c>
      <c r="B5" s="20" t="n">
        <f aca="false">Quizzes!E13</f>
        <v>0.85</v>
      </c>
      <c r="C5" s="9"/>
      <c r="D5" s="9"/>
    </row>
    <row r="6" customFormat="false" ht="15" hidden="false" customHeight="false" outlineLevel="0" collapsed="false">
      <c r="A6" s="9" t="s">
        <v>94</v>
      </c>
      <c r="B6" s="20" t="n">
        <f aca="false">'Exams &amp; Participation'!D4</f>
        <v>0.78</v>
      </c>
      <c r="C6" s="9"/>
      <c r="D6" s="9"/>
    </row>
    <row r="7" customFormat="false" ht="15" hidden="false" customHeight="false" outlineLevel="0" collapsed="false">
      <c r="A7" s="9" t="s">
        <v>95</v>
      </c>
      <c r="B7" s="20" t="n">
        <f aca="false">'Exams &amp; Participation'!D5</f>
        <v>0.82</v>
      </c>
      <c r="C7" s="9"/>
      <c r="D7" s="9"/>
    </row>
    <row r="8" customFormat="false" ht="15" hidden="false" customHeight="false" outlineLevel="0" collapsed="false">
      <c r="A8" s="9" t="s">
        <v>96</v>
      </c>
      <c r="B8" s="20" t="n">
        <f aca="false">'Exams &amp; Participation'!D6</f>
        <v>0.9</v>
      </c>
      <c r="C8" s="9"/>
      <c r="D8" s="9"/>
    </row>
    <row r="9" customFormat="false" ht="15" hidden="false" customHeight="false" outlineLevel="0" collapsed="false">
      <c r="A9" s="9" t="s">
        <v>97</v>
      </c>
      <c r="B9" s="24" t="n">
        <f aca="false">'Exams &amp; Participation'!C10</f>
        <v>2.5</v>
      </c>
      <c r="C9" s="9"/>
      <c r="D9" s="9"/>
    </row>
    <row r="11" customFormat="false" ht="15" hidden="false" customHeight="false" outlineLevel="0" collapsed="false">
      <c r="A11" s="3" t="s">
        <v>98</v>
      </c>
      <c r="B11" s="3"/>
      <c r="C11" s="3"/>
      <c r="D11" s="3"/>
    </row>
    <row r="12" customFormat="false" ht="15" hidden="false" customHeight="false" outlineLevel="0" collapsed="false">
      <c r="A12" s="9" t="s">
        <v>99</v>
      </c>
      <c r="B12" s="20" t="n">
        <f aca="false">MIN(B6,B7)</f>
        <v>0.78</v>
      </c>
      <c r="C12" s="9"/>
      <c r="D12" s="9"/>
    </row>
    <row r="13" customFormat="false" ht="15" hidden="false" customHeight="false" outlineLevel="0" collapsed="false">
      <c r="A13" s="9" t="s">
        <v>100</v>
      </c>
      <c r="B13" s="20" t="n">
        <f aca="false">MAX(B6,B7)</f>
        <v>0.82</v>
      </c>
      <c r="C13" s="9"/>
      <c r="D13" s="9"/>
    </row>
    <row r="14" customFormat="false" ht="15" hidden="false" customHeight="false" outlineLevel="0" collapsed="false">
      <c r="A14" s="9" t="s">
        <v>101</v>
      </c>
      <c r="B14" s="21" t="str">
        <f aca="false">IF(B8&gt;B12,"Yes","No")</f>
        <v>Yes</v>
      </c>
      <c r="C14" s="9"/>
      <c r="D14" s="9"/>
    </row>
    <row r="15" customFormat="false" ht="15" hidden="false" customHeight="false" outlineLevel="0" collapsed="false">
      <c r="A15" s="9" t="s">
        <v>102</v>
      </c>
      <c r="B15" s="20" t="n">
        <f aca="false">IF(B8&gt;B12,B8,B12)</f>
        <v>0.9</v>
      </c>
      <c r="C15" s="9"/>
      <c r="D15" s="9"/>
    </row>
    <row r="17" customFormat="false" ht="15" hidden="false" customHeight="false" outlineLevel="0" collapsed="false">
      <c r="A17" s="3" t="s">
        <v>103</v>
      </c>
      <c r="B17" s="3"/>
      <c r="C17" s="3"/>
      <c r="D17" s="3"/>
    </row>
    <row r="18" customFormat="false" ht="23.85" hidden="false" customHeight="false" outlineLevel="0" collapsed="false">
      <c r="A18" s="8" t="s">
        <v>23</v>
      </c>
      <c r="B18" s="8" t="s">
        <v>24</v>
      </c>
      <c r="C18" s="8" t="s">
        <v>104</v>
      </c>
      <c r="D18" s="8" t="s">
        <v>105</v>
      </c>
    </row>
    <row r="19" customFormat="false" ht="15" hidden="false" customHeight="false" outlineLevel="0" collapsed="false">
      <c r="A19" s="9" t="s">
        <v>12</v>
      </c>
      <c r="B19" s="26" t="n">
        <f aca="false">'Grading Policy'!B4</f>
        <v>0.2</v>
      </c>
      <c r="C19" s="20" t="n">
        <f aca="false">B4</f>
        <v>0.85875</v>
      </c>
      <c r="D19" s="20" t="n">
        <f aca="false">B19*C19</f>
        <v>0.17175</v>
      </c>
    </row>
    <row r="20" customFormat="false" ht="15" hidden="false" customHeight="false" outlineLevel="0" collapsed="false">
      <c r="A20" s="9" t="s">
        <v>14</v>
      </c>
      <c r="B20" s="26" t="n">
        <f aca="false">'Grading Policy'!B5</f>
        <v>0.15</v>
      </c>
      <c r="C20" s="20" t="n">
        <f aca="false">B5</f>
        <v>0.85</v>
      </c>
      <c r="D20" s="20" t="n">
        <f aca="false">B20*C20</f>
        <v>0.1275</v>
      </c>
    </row>
    <row r="21" customFormat="false" ht="15" hidden="false" customHeight="false" outlineLevel="0" collapsed="false">
      <c r="A21" s="9" t="s">
        <v>106</v>
      </c>
      <c r="B21" s="26" t="n">
        <f aca="false">'Grading Policy'!B6</f>
        <v>0.15</v>
      </c>
      <c r="C21" s="20" t="n">
        <f aca="false">B15</f>
        <v>0.9</v>
      </c>
      <c r="D21" s="20" t="n">
        <f aca="false">B21*C21</f>
        <v>0.135</v>
      </c>
    </row>
    <row r="22" customFormat="false" ht="15" hidden="false" customHeight="false" outlineLevel="0" collapsed="false">
      <c r="A22" s="9" t="s">
        <v>107</v>
      </c>
      <c r="B22" s="26" t="n">
        <f aca="false">'Grading Policy'!B7</f>
        <v>0.15</v>
      </c>
      <c r="C22" s="20" t="n">
        <f aca="false">B13</f>
        <v>0.82</v>
      </c>
      <c r="D22" s="20" t="n">
        <f aca="false">B22*C22</f>
        <v>0.123</v>
      </c>
    </row>
    <row r="23" customFormat="false" ht="15" hidden="false" customHeight="false" outlineLevel="0" collapsed="false">
      <c r="A23" s="9" t="s">
        <v>33</v>
      </c>
      <c r="B23" s="26" t="n">
        <f aca="false">'Grading Policy'!B8</f>
        <v>0.35</v>
      </c>
      <c r="C23" s="20" t="n">
        <f aca="false">B8</f>
        <v>0.9</v>
      </c>
      <c r="D23" s="20" t="n">
        <f aca="false">B23*C23</f>
        <v>0.315</v>
      </c>
    </row>
    <row r="24" customFormat="false" ht="15" hidden="false" customHeight="false" outlineLevel="0" collapsed="false">
      <c r="A24" s="13" t="s">
        <v>108</v>
      </c>
      <c r="B24" s="14" t="n">
        <f aca="false">SUM(B19:B23)</f>
        <v>1</v>
      </c>
      <c r="C24" s="15"/>
      <c r="D24" s="22" t="n">
        <f aca="false">SUM(D19:D23)</f>
        <v>0.87225</v>
      </c>
    </row>
    <row r="26" customFormat="false" ht="15" hidden="false" customHeight="false" outlineLevel="0" collapsed="false">
      <c r="A26" s="3" t="s">
        <v>109</v>
      </c>
      <c r="B26" s="3"/>
      <c r="C26" s="3"/>
      <c r="D26" s="3"/>
    </row>
    <row r="27" customFormat="false" ht="15" hidden="false" customHeight="false" outlineLevel="0" collapsed="false">
      <c r="A27" s="9" t="s">
        <v>110</v>
      </c>
      <c r="B27" s="24" t="n">
        <f aca="false">B9</f>
        <v>2.5</v>
      </c>
      <c r="C27" s="9"/>
      <c r="D27" s="9"/>
    </row>
    <row r="28" customFormat="false" ht="15" hidden="false" customHeight="false" outlineLevel="0" collapsed="false">
      <c r="A28" s="13" t="s">
        <v>111</v>
      </c>
      <c r="B28" s="22" t="n">
        <f aca="false">MIN(D24+B27/100,1)</f>
        <v>0.89725</v>
      </c>
      <c r="C28" s="15"/>
      <c r="D28" s="15"/>
    </row>
    <row r="29" customFormat="false" ht="15" hidden="false" customHeight="false" outlineLevel="0" collapsed="false">
      <c r="A29" s="13" t="s">
        <v>44</v>
      </c>
      <c r="B29" s="27" t="str">
        <f aca="false">INDEX('Grading Policy'!$B$21:$B$30,MATCH(B28,'Grading Policy'!$A$21:$A$30,1))</f>
        <v>B+</v>
      </c>
      <c r="C29" s="15"/>
      <c r="D29" s="15"/>
    </row>
    <row r="31" customFormat="false" ht="15" hidden="false" customHeight="false" outlineLevel="0" collapsed="false">
      <c r="A31" s="28" t="str">
        <f aca="false">"FINAL GRADE:  "&amp;TEXT(B28,"0.0%")&amp;"   ("&amp;B29&amp;")"</f>
        <v>FINAL GRADE:  89.7%   (B+)</v>
      </c>
      <c r="B31" s="28"/>
      <c r="C31" s="28"/>
      <c r="D31" s="28"/>
    </row>
    <row r="32" customFormat="false" ht="15" hidden="false" customHeight="false" outlineLevel="0" collapsed="false">
      <c r="A32" s="28"/>
      <c r="B32" s="28"/>
      <c r="C32" s="28"/>
      <c r="D32" s="28"/>
    </row>
  </sheetData>
  <mergeCells count="6">
    <mergeCell ref="A1:D1"/>
    <mergeCell ref="A3:D3"/>
    <mergeCell ref="A11:D11"/>
    <mergeCell ref="A17:D17"/>
    <mergeCell ref="A26:D26"/>
    <mergeCell ref="A31:D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2026-07-11T08:30:02Z</dcterms:created>
  <dc:creator>openpyxl</dc:creator>
  <dc:description/>
  <dc:language>en-US</dc:language>
  <cp:lastModifiedBy/>
  <dcterms:modified xsi:type="dcterms:W3CDTF">2026-07-11T08:30:02Z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