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Instructions" sheetId="1" state="visible" r:id="rId3"/>
    <sheet name="1. Expected Total" sheetId="2" state="visible" r:id="rId4"/>
    <sheet name="2. Digital Records (RAW)" sheetId="3" state="visible" r:id="rId5"/>
    <sheet name="3. Interpretation Rul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<sst xmlns="http://schemas.openxmlformats.org/spreadsheetml/2006/main" count="142" uniqueCount="135">
  <si>
    <t xml:space="preserve">Task 3 — The Books Don't Match</t>
  </si>
  <si>
    <t xml:space="preserve">Example reconciliation dataset: Farewell Gift Collection</t>
  </si>
  <si>
    <t xml:space="preserve">Scenario</t>
  </si>
  <si>
    <t xml:space="preserve">A team of 18 colleagues each committed to a fixed PKR 2,500 contribution toward a farewell gift. Contributions came in by bank/mobile-wallet transfer over about a week. This workbook is a fictional, illustrative example.</t>
  </si>
  <si>
    <t xml:space="preserve">Step 1 — Expected total</t>
  </si>
  <si>
    <t xml:space="preserve">PKR 45,000 (18 confirmed contributors x PKR 2,500). See sheet '1. Expected Total'. This is the ground truth the digital records should add up to.</t>
  </si>
  <si>
    <t xml:space="preserve">Step 2 — Raw digital records</t>
  </si>
  <si>
    <t xml:space="preserve">See sheet '2. Digital Records (RAW)'. This is the wallet/bank statement export exactly as downloaded — inconsistent name formats, blank memos, duplicates, and one unidentified sender. Nothing has been cleaned up.</t>
  </si>
  <si>
    <t xml:space="preserve">Step 3 — Interpretation rules</t>
  </si>
  <si>
    <t xml:space="preserve">See sheet '3. Interpretation Rules'. These are the collector's own rules for resolving nicknames, combined payments, duplicates, and partial payments — written from personal knowledge of the team, not from the data.</t>
  </si>
  <si>
    <t xml:space="preserve">Step 4 — What to ask the script</t>
  </si>
  <si>
    <t xml:space="preserve">Feed all three sheets to the reconciliation script/AI and ask it to: (1) apply the interpretation rules to match each transfer to a roster member, (2) total what each person actually paid, (3) compare against the PKR 45,000 target, and (4) list, by name, who still owes money, who overpaid, and any transfer that could not be identified.</t>
  </si>
  <si>
    <t xml:space="preserve">Hand-Counted Roster — Ground Truth</t>
  </si>
  <si>
    <t xml:space="preserve">Source: WhatsApp confirmation poll, closed 09-Jun-2026. Every person listed below personally confirmed they were contributing before the collection window closed. Fixed share = PKR 2,500 per person. Counted by hand from the poll, not from any bank record.</t>
  </si>
  <si>
    <t xml:space="preserve">No.</t>
  </si>
  <si>
    <t xml:space="preserve">Team Member (Roster Name)</t>
  </si>
  <si>
    <t xml:space="preserve">Confirmed Share (PKR)</t>
  </si>
  <si>
    <t xml:space="preserve">Notes</t>
  </si>
  <si>
    <t xml:space="preserve">Ali Raza</t>
  </si>
  <si>
    <t xml:space="preserve">Sana Tariq</t>
  </si>
  <si>
    <t xml:space="preserve">Ahsan Malik</t>
  </si>
  <si>
    <t xml:space="preserve">Bilal Ahmed</t>
  </si>
  <si>
    <t xml:space="preserve">Fatima Noor</t>
  </si>
  <si>
    <t xml:space="preserve">Hassan Sheikh</t>
  </si>
  <si>
    <t xml:space="preserve">Zainab Qureshi</t>
  </si>
  <si>
    <t xml:space="preserve">Umer Farooq</t>
  </si>
  <si>
    <t xml:space="preserve">Mahnoor Iqbal</t>
  </si>
  <si>
    <t xml:space="preserve">Danish Khan</t>
  </si>
  <si>
    <t xml:space="preserve">Ayesha Siddiqui</t>
  </si>
  <si>
    <t xml:space="preserve">Faisal Mehmood</t>
  </si>
  <si>
    <t xml:space="preserve">Rabia Chaudhry</t>
  </si>
  <si>
    <t xml:space="preserve">Osman Javed</t>
  </si>
  <si>
    <t xml:space="preserve">Nida Aslam</t>
  </si>
  <si>
    <t xml:space="preserve">Kamran Latif</t>
  </si>
  <si>
    <t xml:space="preserve">Sadia Rehman</t>
  </si>
  <si>
    <t xml:space="preserve">Junaid Aziz</t>
  </si>
  <si>
    <t xml:space="preserve">EXPECTED TOTAL</t>
  </si>
  <si>
    <t xml:space="preserve">Wallet/Bank Statement Export — AS RECEIVED (unedited)</t>
  </si>
  <si>
    <t xml:space="preserve">Copied exactly as it appeared in the app export on 10-Jun-2026. Date formats, capitalisation, and blank fields are inconsistent because the source data is inconsistent — nothing below has been cleaned, renamed, or reordered.</t>
  </si>
  <si>
    <t xml:space="preserve">Date (as shown)</t>
  </si>
  <si>
    <t xml:space="preserve">Time (as shown)</t>
  </si>
  <si>
    <t xml:space="preserve">Sender Name (App Display)</t>
  </si>
  <si>
    <t xml:space="preserve">Amount (PKR)</t>
  </si>
  <si>
    <t xml:space="preserve">Reference / Note</t>
  </si>
  <si>
    <t xml:space="preserve">Sender Mobile / Account</t>
  </si>
  <si>
    <t xml:space="preserve">03/06/2026</t>
  </si>
  <si>
    <t xml:space="preserve">10:15 AM</t>
  </si>
  <si>
    <t xml:space="preserve">ALI RAZA</t>
  </si>
  <si>
    <t xml:space="preserve">farewell gift</t>
  </si>
  <si>
    <t xml:space="preserve">0300-1234567</t>
  </si>
  <si>
    <t xml:space="preserve">3-Jun</t>
  </si>
  <si>
    <t xml:space="preserve">11:02</t>
  </si>
  <si>
    <t xml:space="preserve">Sana Baji</t>
  </si>
  <si>
    <t xml:space="preserve">0333-7654321</t>
  </si>
  <si>
    <t xml:space="preserve">03.06.2026</t>
  </si>
  <si>
    <t xml:space="preserve">14:30</t>
  </si>
  <si>
    <t xml:space="preserve">Ahsan M.</t>
  </si>
  <si>
    <t xml:space="preserve">gift fund</t>
  </si>
  <si>
    <t xml:space="preserve">0321-9988776</t>
  </si>
  <si>
    <t xml:space="preserve">4/6/26</t>
  </si>
  <si>
    <t xml:space="preserve">09:45am</t>
  </si>
  <si>
    <t xml:space="preserve">Umer F.</t>
  </si>
  <si>
    <t xml:space="preserve">self+bilal</t>
  </si>
  <si>
    <t xml:space="preserve">0345-1122334</t>
  </si>
  <si>
    <t xml:space="preserve">04-06-2026</t>
  </si>
  <si>
    <t xml:space="preserve">16:10</t>
  </si>
  <si>
    <t xml:space="preserve">fatima n</t>
  </si>
  <si>
    <t xml:space="preserve">farewell</t>
  </si>
  <si>
    <t xml:space="preserve">0301-5566778</t>
  </si>
  <si>
    <t xml:space="preserve">5 Jun</t>
  </si>
  <si>
    <t xml:space="preserve">08:30 AM</t>
  </si>
  <si>
    <t xml:space="preserve">0312-2233445</t>
  </si>
  <si>
    <t xml:space="preserve">08:33 AM</t>
  </si>
  <si>
    <t xml:space="preserve">sent again by mistake?</t>
  </si>
  <si>
    <t xml:space="preserve">05/06/2026</t>
  </si>
  <si>
    <t xml:space="preserve">12:00</t>
  </si>
  <si>
    <t xml:space="preserve">ZAINAB Q</t>
  </si>
  <si>
    <t xml:space="preserve">0333-6677889</t>
  </si>
  <si>
    <t xml:space="preserve">6-Jun-26</t>
  </si>
  <si>
    <t xml:space="preserve">15:45</t>
  </si>
  <si>
    <t xml:space="preserve">Mahnoor</t>
  </si>
  <si>
    <t xml:space="preserve">will send rest later</t>
  </si>
  <si>
    <t xml:space="preserve">0300-9988112</t>
  </si>
  <si>
    <t xml:space="preserve">06/06/2026</t>
  </si>
  <si>
    <t xml:space="preserve">09:20 AM</t>
  </si>
  <si>
    <t xml:space="preserve">D.Khan</t>
  </si>
  <si>
    <t xml:space="preserve">0345-4433221</t>
  </si>
  <si>
    <t xml:space="preserve">6 June</t>
  </si>
  <si>
    <t xml:space="preserve">18:00</t>
  </si>
  <si>
    <t xml:space="preserve">Ayesha S</t>
  </si>
  <si>
    <t xml:space="preserve">gift</t>
  </si>
  <si>
    <t xml:space="preserve">0321-7788990</t>
  </si>
  <si>
    <t xml:space="preserve">07-06-2026</t>
  </si>
  <si>
    <t xml:space="preserve">10:10</t>
  </si>
  <si>
    <t xml:space="preserve">Rabia</t>
  </si>
  <si>
    <t xml:space="preserve">farewell fund</t>
  </si>
  <si>
    <t xml:space="preserve">0301-3344556</t>
  </si>
  <si>
    <t xml:space="preserve">07/06/26</t>
  </si>
  <si>
    <t xml:space="preserve">13:25</t>
  </si>
  <si>
    <t xml:space="preserve">Mrs Osman Javed</t>
  </si>
  <si>
    <t xml:space="preserve">on behalf of Osman</t>
  </si>
  <si>
    <t xml:space="preserve">0312-8899001</t>
  </si>
  <si>
    <t xml:space="preserve">8-Jun</t>
  </si>
  <si>
    <t xml:space="preserve">09:00am</t>
  </si>
  <si>
    <t xml:space="preserve">Nida A.</t>
  </si>
  <si>
    <t xml:space="preserve">0333-2211334</t>
  </si>
  <si>
    <t xml:space="preserve">08.06.2026</t>
  </si>
  <si>
    <t xml:space="preserve">17:30</t>
  </si>
  <si>
    <t xml:space="preserve">trip?? or gift</t>
  </si>
  <si>
    <t xml:space="preserve">0345-9900112</t>
  </si>
  <si>
    <t xml:space="preserve">09/06/2026</t>
  </si>
  <si>
    <t xml:space="preserve">11:11</t>
  </si>
  <si>
    <t xml:space="preserve">Sadia</t>
  </si>
  <si>
    <t xml:space="preserve">0301-6655443</t>
  </si>
  <si>
    <t xml:space="preserve">09-06-26</t>
  </si>
  <si>
    <t xml:space="preserve">20:05</t>
  </si>
  <si>
    <t xml:space="preserve">J AZIZ</t>
  </si>
  <si>
    <t xml:space="preserve">0321-1234567</t>
  </si>
  <si>
    <t xml:space="preserve">10/06/2026</t>
  </si>
  <si>
    <t xml:space="preserve">07:45 AM</t>
  </si>
  <si>
    <t xml:space="preserve">(unregistered sender)</t>
  </si>
  <si>
    <t xml:space="preserve">03XX-XXXXXXX</t>
  </si>
  <si>
    <t xml:space="preserve">RAW TOTAL (unreconciled)</t>
  </si>
  <si>
    <t xml:space="preserve">My Rules for Interpreting Ambiguous Entries</t>
  </si>
  <si>
    <t xml:space="preserve">These come from personal knowledge of the team, not from the statement itself. Give these to the script along with the two sheets above.</t>
  </si>
  <si>
    <t xml:space="preserve">#</t>
  </si>
  <si>
    <t xml:space="preserve">Rule</t>
  </si>
  <si>
    <t xml:space="preserve">Nickname/relational terms map to one specific person — e.g. "Sana Baji" = Sana Tariq (I call her "Baji" out of respect; no one else on the roster goes by that term).</t>
  </si>
  <si>
    <t xml:space="preserve">A first name, initial, or short form that uniquely matches exactly one roster member counts as a match (e.g. "Rabia" = Rabia Chaudhry, "D.Khan" = Danish Khan). If it could plausibly match more than one person, do NOT auto-match — flag it instead.</t>
  </si>
  <si>
    <t xml:space="preserve">A transfer sent from a spouse's, parent's, or sibling's account, with a note naming the actual team member, counts as that team member's own payment (e.g. "Mrs Osman Javed" = Osman Javed's share).</t>
  </si>
  <si>
    <t xml:space="preserve">A single transfer whose amount is an exact multiple of the fixed share (PKR 2,500) and whose note references two people (e.g. "self+Bilal") should be split evenly and credited to both people named.</t>
  </si>
  <si>
    <t xml:space="preserve">Two transfers from the same sender, for the same amount, on the same day, with no distinguishing note, are an accidental duplicate. Only the first counts toward dues — the second is an overpayment to flag for a refund or credit, not a shortfall.</t>
  </si>
  <si>
    <t xml:space="preserve">A transfer smaller than PKR 2,500 is a partial payment. The sender still owes the difference — do not mark them as paid in full.</t>
  </si>
  <si>
    <t xml:space="preserve">A transfer that doesn't match any name or number on the roster (unregistered sender, no name shown) must NOT be auto-credited to anyone. Flag it as unidentified pending manual confirmation.</t>
  </si>
  <si>
    <t xml:space="preserve">An ambiguous memo (e.g. "trip?? or gift") is still counted toward the farewell gift as long as the sender's name matches a roster member and the amount equals the fixed share — the memo wording doesn't override the identity match.</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</si>
</sst>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0"/>
      <color rgb="FF1F3864"/>
      <name val="Arial"/>
      <family val="0"/>
      <charset val="1"/>
    </font>
    <font>
      <sz val="10"/>
      <name val="Arial"/>
      <family val="0"/>
      <charset val="1"/>
    </font>
    <font>
      <b val="true"/>
      <sz val="14"/>
      <color rgb="FFFFFFFF"/>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0"/>
  </cols>
  <sheetData>
    <row r="2" customFormat="false" ht="19.7" hidden="false" customHeight="false" outlineLevel="0" collapsed="false">
      <c r="B2" s="1" t="s">
        <v>0</v>
      </c>
    </row>
    <row r="3" customFormat="false" ht="15" hidden="false" customHeight="false" outlineLevel="0" collapsed="false">
      <c r="B3" s="2" t="s">
        <v>1</v>
      </c>
    </row>
    <row r="5" customFormat="false" ht="48" hidden="false" customHeight="true" outlineLevel="0" collapsed="false">
      <c r="B5" s="3" t="s">
        <v>2</v>
      </c>
      <c r="C5" s="4" t="s">
        <v>3</v>
      </c>
    </row>
    <row r="7" customFormat="false" ht="48" hidden="false" customHeight="true" outlineLevel="0" collapsed="false">
      <c r="B7" s="3" t="s">
        <v>4</v>
      </c>
      <c r="C7" s="4" t="s">
        <v>5</v>
      </c>
    </row>
    <row r="9" customFormat="false" ht="48" hidden="false" customHeight="true" outlineLevel="0" collapsed="false">
      <c r="B9" s="3" t="s">
        <v>6</v>
      </c>
      <c r="C9" s="4" t="s">
        <v>7</v>
      </c>
    </row>
    <row r="11" customFormat="false" ht="48" hidden="false" customHeight="true" outlineLevel="0" collapsed="false">
      <c r="B11" s="3" t="s">
        <v>8</v>
      </c>
      <c r="C11" s="4" t="s">
        <v>9</v>
      </c>
    </row>
    <row r="13" customFormat="false" ht="48" hidden="false" customHeight="true" outlineLevel="0" collapsed="false">
      <c r="B13" s="3" t="s">
        <v>10</v>
      </c>
      <c r="C13"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0"/>
    <col collapsed="false" customWidth="true" hidden="false" outlineLevel="0" max="4" min="4" style="0" width="30"/>
  </cols>
  <sheetData>
    <row r="1" customFormat="false" ht="21.75" hidden="false" customHeight="true" outlineLevel="0" collapsed="false">
      <c r="A1" s="5" t="s">
        <v>12</v>
      </c>
      <c r="B1" s="5"/>
      <c r="C1" s="5"/>
      <c r="D1" s="5"/>
    </row>
    <row r="2" customFormat="false" ht="30" hidden="false" customHeight="true" outlineLevel="0" collapsed="false">
      <c r="A2" s="6" t="s">
        <v>13</v>
      </c>
      <c r="B2" s="6"/>
      <c r="C2" s="6"/>
      <c r="D2" s="6"/>
    </row>
    <row r="4" customFormat="false" ht="23.85" hidden="false" customHeight="false" outlineLevel="0" collapsed="false">
      <c r="A4" s="7" t="s">
        <v>14</v>
      </c>
      <c r="B4" s="7" t="s">
        <v>15</v>
      </c>
      <c r="C4" s="7" t="s">
        <v>16</v>
      </c>
      <c r="D4" s="7" t="s">
        <v>17</v>
      </c>
    </row>
    <row r="5" customFormat="false" ht="15" hidden="false" customHeight="false" outlineLevel="0" collapsed="false">
      <c r="A5" s="8" t="n">
        <v>1</v>
      </c>
      <c r="B5" s="8" t="s">
        <v>18</v>
      </c>
      <c r="C5" s="9" t="n">
        <v>2500</v>
      </c>
      <c r="D5" s="8"/>
    </row>
    <row r="6" customFormat="false" ht="15" hidden="false" customHeight="false" outlineLevel="0" collapsed="false">
      <c r="A6" s="8" t="n">
        <v>2</v>
      </c>
      <c r="B6" s="8" t="s">
        <v>19</v>
      </c>
      <c r="C6" s="9" t="n">
        <v>2500</v>
      </c>
      <c r="D6" s="8"/>
    </row>
    <row r="7" customFormat="false" ht="15" hidden="false" customHeight="false" outlineLevel="0" collapsed="false">
      <c r="A7" s="8" t="n">
        <v>3</v>
      </c>
      <c r="B7" s="8" t="s">
        <v>20</v>
      </c>
      <c r="C7" s="9" t="n">
        <v>2500</v>
      </c>
      <c r="D7" s="8"/>
    </row>
    <row r="8" customFormat="false" ht="15" hidden="false" customHeight="false" outlineLevel="0" collapsed="false">
      <c r="A8" s="8" t="n">
        <v>4</v>
      </c>
      <c r="B8" s="8" t="s">
        <v>21</v>
      </c>
      <c r="C8" s="9" t="n">
        <v>2500</v>
      </c>
      <c r="D8" s="8"/>
    </row>
    <row r="9" customFormat="false" ht="15" hidden="false" customHeight="false" outlineLevel="0" collapsed="false">
      <c r="A9" s="8" t="n">
        <v>5</v>
      </c>
      <c r="B9" s="8" t="s">
        <v>22</v>
      </c>
      <c r="C9" s="9" t="n">
        <v>2500</v>
      </c>
      <c r="D9" s="8"/>
    </row>
    <row r="10" customFormat="false" ht="15" hidden="false" customHeight="false" outlineLevel="0" collapsed="false">
      <c r="A10" s="8" t="n">
        <v>6</v>
      </c>
      <c r="B10" s="8" t="s">
        <v>23</v>
      </c>
      <c r="C10" s="9" t="n">
        <v>2500</v>
      </c>
      <c r="D10" s="8"/>
    </row>
    <row r="11" customFormat="false" ht="15" hidden="false" customHeight="false" outlineLevel="0" collapsed="false">
      <c r="A11" s="8" t="n">
        <v>7</v>
      </c>
      <c r="B11" s="8" t="s">
        <v>24</v>
      </c>
      <c r="C11" s="9" t="n">
        <v>2500</v>
      </c>
      <c r="D11" s="8"/>
    </row>
    <row r="12" customFormat="false" ht="15" hidden="false" customHeight="false" outlineLevel="0" collapsed="false">
      <c r="A12" s="8" t="n">
        <v>8</v>
      </c>
      <c r="B12" s="8" t="s">
        <v>25</v>
      </c>
      <c r="C12" s="9" t="n">
        <v>2500</v>
      </c>
      <c r="D12" s="8"/>
    </row>
    <row r="13" customFormat="false" ht="15" hidden="false" customHeight="false" outlineLevel="0" collapsed="false">
      <c r="A13" s="8" t="n">
        <v>9</v>
      </c>
      <c r="B13" s="8" t="s">
        <v>26</v>
      </c>
      <c r="C13" s="9" t="n">
        <v>2500</v>
      </c>
      <c r="D13" s="8"/>
    </row>
    <row r="14" customFormat="false" ht="15" hidden="false" customHeight="false" outlineLevel="0" collapsed="false">
      <c r="A14" s="8" t="n">
        <v>10</v>
      </c>
      <c r="B14" s="8" t="s">
        <v>27</v>
      </c>
      <c r="C14" s="9" t="n">
        <v>2500</v>
      </c>
      <c r="D14" s="8"/>
    </row>
    <row r="15" customFormat="false" ht="15" hidden="false" customHeight="false" outlineLevel="0" collapsed="false">
      <c r="A15" s="8" t="n">
        <v>11</v>
      </c>
      <c r="B15" s="8" t="s">
        <v>28</v>
      </c>
      <c r="C15" s="9" t="n">
        <v>2500</v>
      </c>
      <c r="D15" s="8"/>
    </row>
    <row r="16" customFormat="false" ht="15" hidden="false" customHeight="false" outlineLevel="0" collapsed="false">
      <c r="A16" s="8" t="n">
        <v>12</v>
      </c>
      <c r="B16" s="8" t="s">
        <v>29</v>
      </c>
      <c r="C16" s="9" t="n">
        <v>2500</v>
      </c>
      <c r="D16" s="8"/>
    </row>
    <row r="17" customFormat="false" ht="15" hidden="false" customHeight="false" outlineLevel="0" collapsed="false">
      <c r="A17" s="8" t="n">
        <v>13</v>
      </c>
      <c r="B17" s="8" t="s">
        <v>30</v>
      </c>
      <c r="C17" s="9" t="n">
        <v>2500</v>
      </c>
      <c r="D17" s="8"/>
    </row>
    <row r="18" customFormat="false" ht="15" hidden="false" customHeight="false" outlineLevel="0" collapsed="false">
      <c r="A18" s="8" t="n">
        <v>14</v>
      </c>
      <c r="B18" s="8" t="s">
        <v>31</v>
      </c>
      <c r="C18" s="9" t="n">
        <v>2500</v>
      </c>
      <c r="D18" s="8"/>
    </row>
    <row r="19" customFormat="false" ht="15" hidden="false" customHeight="false" outlineLevel="0" collapsed="false">
      <c r="A19" s="8" t="n">
        <v>15</v>
      </c>
      <c r="B19" s="8" t="s">
        <v>32</v>
      </c>
      <c r="C19" s="9" t="n">
        <v>2500</v>
      </c>
      <c r="D19" s="8"/>
    </row>
    <row r="20" customFormat="false" ht="15" hidden="false" customHeight="false" outlineLevel="0" collapsed="false">
      <c r="A20" s="8" t="n">
        <v>16</v>
      </c>
      <c r="B20" s="8" t="s">
        <v>33</v>
      </c>
      <c r="C20" s="9" t="n">
        <v>2500</v>
      </c>
      <c r="D20" s="8"/>
    </row>
    <row r="21" customFormat="false" ht="15" hidden="false" customHeight="false" outlineLevel="0" collapsed="false">
      <c r="A21" s="8" t="n">
        <v>17</v>
      </c>
      <c r="B21" s="8" t="s">
        <v>34</v>
      </c>
      <c r="C21" s="9" t="n">
        <v>2500</v>
      </c>
      <c r="D21" s="8"/>
    </row>
    <row r="22" customFormat="false" ht="15" hidden="false" customHeight="false" outlineLevel="0" collapsed="false">
      <c r="A22" s="8" t="n">
        <v>18</v>
      </c>
      <c r="B22" s="8" t="s">
        <v>35</v>
      </c>
      <c r="C22" s="9" t="n">
        <v>2500</v>
      </c>
      <c r="D22" s="8"/>
    </row>
    <row r="23" customFormat="false" ht="15" hidden="false" customHeight="false" outlineLevel="0" collapsed="false">
      <c r="A23" s="10"/>
      <c r="B23" s="11" t="s">
        <v>36</v>
      </c>
      <c r="C23" s="12" t="n">
        <f aca="false">SUM(C5:C22)</f>
        <v>45000</v>
      </c>
      <c r="D23" s="10"/>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4"/>
    <col collapsed="false" customWidth="true" hidden="false" outlineLevel="0" max="4" min="4" style="0" width="14"/>
    <col collapsed="false" customWidth="true" hidden="false" outlineLevel="0" max="5" min="5" style="0" width="26"/>
    <col collapsed="false" customWidth="true" hidden="false" outlineLevel="0" max="6" min="6" style="0" width="20"/>
  </cols>
  <sheetData>
    <row r="1" customFormat="false" ht="21.75" hidden="false" customHeight="true" outlineLevel="0" collapsed="false">
      <c r="A1" s="5" t="s">
        <v>37</v>
      </c>
      <c r="B1" s="5"/>
      <c r="C1" s="5"/>
      <c r="D1" s="5"/>
      <c r="E1" s="5"/>
      <c r="F1" s="5"/>
    </row>
    <row r="2" customFormat="false" ht="27.75" hidden="false" customHeight="true" outlineLevel="0" collapsed="false">
      <c r="A2" s="6" t="s">
        <v>38</v>
      </c>
      <c r="B2" s="6"/>
      <c r="C2" s="6"/>
      <c r="D2" s="6"/>
      <c r="E2" s="6"/>
      <c r="F2" s="6"/>
    </row>
    <row r="4" customFormat="false" ht="23.85" hidden="false" customHeight="false" outlineLevel="0" collapsed="false">
      <c r="A4" s="7" t="s">
        <v>39</v>
      </c>
      <c r="B4" s="7" t="s">
        <v>40</v>
      </c>
      <c r="C4" s="7" t="s">
        <v>41</v>
      </c>
      <c r="D4" s="7" t="s">
        <v>42</v>
      </c>
      <c r="E4" s="7" t="s">
        <v>43</v>
      </c>
      <c r="F4" s="7" t="s">
        <v>44</v>
      </c>
    </row>
    <row r="5" customFormat="false" ht="15" hidden="false" customHeight="false" outlineLevel="0" collapsed="false">
      <c r="A5" s="13" t="s">
        <v>45</v>
      </c>
      <c r="B5" s="13" t="s">
        <v>46</v>
      </c>
      <c r="C5" s="13" t="s">
        <v>47</v>
      </c>
      <c r="D5" s="9" t="n">
        <v>2500</v>
      </c>
      <c r="E5" s="13" t="s">
        <v>48</v>
      </c>
      <c r="F5" s="13" t="s">
        <v>49</v>
      </c>
    </row>
    <row r="6" customFormat="false" ht="15" hidden="false" customHeight="false" outlineLevel="0" collapsed="false">
      <c r="A6" s="13" t="s">
        <v>50</v>
      </c>
      <c r="B6" s="13" t="s">
        <v>51</v>
      </c>
      <c r="C6" s="13" t="s">
        <v>52</v>
      </c>
      <c r="D6" s="9" t="n">
        <v>2500</v>
      </c>
      <c r="E6" s="13"/>
      <c r="F6" s="13" t="s">
        <v>53</v>
      </c>
    </row>
    <row r="7" customFormat="false" ht="15" hidden="false" customHeight="false" outlineLevel="0" collapsed="false">
      <c r="A7" s="13" t="s">
        <v>54</v>
      </c>
      <c r="B7" s="13" t="s">
        <v>55</v>
      </c>
      <c r="C7" s="13" t="s">
        <v>56</v>
      </c>
      <c r="D7" s="9" t="n">
        <v>2500</v>
      </c>
      <c r="E7" s="13" t="s">
        <v>57</v>
      </c>
      <c r="F7" s="13" t="s">
        <v>58</v>
      </c>
    </row>
    <row r="8" customFormat="false" ht="15" hidden="false" customHeight="false" outlineLevel="0" collapsed="false">
      <c r="A8" s="13" t="s">
        <v>59</v>
      </c>
      <c r="B8" s="13" t="s">
        <v>60</v>
      </c>
      <c r="C8" s="13" t="s">
        <v>61</v>
      </c>
      <c r="D8" s="9" t="n">
        <v>5000</v>
      </c>
      <c r="E8" s="13" t="s">
        <v>62</v>
      </c>
      <c r="F8" s="13" t="s">
        <v>63</v>
      </c>
    </row>
    <row r="9" customFormat="false" ht="15" hidden="false" customHeight="false" outlineLevel="0" collapsed="false">
      <c r="A9" s="13" t="s">
        <v>64</v>
      </c>
      <c r="B9" s="13" t="s">
        <v>65</v>
      </c>
      <c r="C9" s="13" t="s">
        <v>66</v>
      </c>
      <c r="D9" s="9" t="n">
        <v>2500</v>
      </c>
      <c r="E9" s="13" t="s">
        <v>67</v>
      </c>
      <c r="F9" s="13" t="s">
        <v>68</v>
      </c>
    </row>
    <row r="10" customFormat="false" ht="15" hidden="false" customHeight="false" outlineLevel="0" collapsed="false">
      <c r="A10" s="13" t="s">
        <v>69</v>
      </c>
      <c r="B10" s="13" t="s">
        <v>70</v>
      </c>
      <c r="C10" s="13" t="s">
        <v>23</v>
      </c>
      <c r="D10" s="9" t="n">
        <v>2500</v>
      </c>
      <c r="E10" s="13"/>
      <c r="F10" s="13" t="s">
        <v>71</v>
      </c>
    </row>
    <row r="11" customFormat="false" ht="15" hidden="false" customHeight="false" outlineLevel="0" collapsed="false">
      <c r="A11" s="13" t="s">
        <v>69</v>
      </c>
      <c r="B11" s="13" t="s">
        <v>72</v>
      </c>
      <c r="C11" s="13" t="s">
        <v>23</v>
      </c>
      <c r="D11" s="9" t="n">
        <v>2500</v>
      </c>
      <c r="E11" s="13" t="s">
        <v>73</v>
      </c>
      <c r="F11" s="13" t="s">
        <v>71</v>
      </c>
    </row>
    <row r="12" customFormat="false" ht="15" hidden="false" customHeight="false" outlineLevel="0" collapsed="false">
      <c r="A12" s="13" t="s">
        <v>74</v>
      </c>
      <c r="B12" s="13" t="s">
        <v>75</v>
      </c>
      <c r="C12" s="13" t="s">
        <v>76</v>
      </c>
      <c r="D12" s="9" t="n">
        <v>2500</v>
      </c>
      <c r="E12" s="13" t="s">
        <v>48</v>
      </c>
      <c r="F12" s="13" t="s">
        <v>77</v>
      </c>
    </row>
    <row r="13" customFormat="false" ht="15" hidden="false" customHeight="false" outlineLevel="0" collapsed="false">
      <c r="A13" s="13" t="s">
        <v>78</v>
      </c>
      <c r="B13" s="13" t="s">
        <v>79</v>
      </c>
      <c r="C13" s="13" t="s">
        <v>80</v>
      </c>
      <c r="D13" s="9" t="n">
        <v>1500</v>
      </c>
      <c r="E13" s="13" t="s">
        <v>81</v>
      </c>
      <c r="F13" s="13" t="s">
        <v>82</v>
      </c>
    </row>
    <row r="14" customFormat="false" ht="15" hidden="false" customHeight="false" outlineLevel="0" collapsed="false">
      <c r="A14" s="13" t="s">
        <v>83</v>
      </c>
      <c r="B14" s="13" t="s">
        <v>84</v>
      </c>
      <c r="C14" s="13" t="s">
        <v>85</v>
      </c>
      <c r="D14" s="9" t="n">
        <v>2500</v>
      </c>
      <c r="E14" s="13"/>
      <c r="F14" s="13" t="s">
        <v>86</v>
      </c>
    </row>
    <row r="15" customFormat="false" ht="15" hidden="false" customHeight="false" outlineLevel="0" collapsed="false">
      <c r="A15" s="13" t="s">
        <v>87</v>
      </c>
      <c r="B15" s="13" t="s">
        <v>88</v>
      </c>
      <c r="C15" s="13" t="s">
        <v>89</v>
      </c>
      <c r="D15" s="9" t="n">
        <v>2500</v>
      </c>
      <c r="E15" s="13" t="s">
        <v>90</v>
      </c>
      <c r="F15" s="13" t="s">
        <v>91</v>
      </c>
    </row>
    <row r="16" customFormat="false" ht="15" hidden="false" customHeight="false" outlineLevel="0" collapsed="false">
      <c r="A16" s="13" t="s">
        <v>92</v>
      </c>
      <c r="B16" s="13" t="s">
        <v>93</v>
      </c>
      <c r="C16" s="13" t="s">
        <v>94</v>
      </c>
      <c r="D16" s="9" t="n">
        <v>2500</v>
      </c>
      <c r="E16" s="13" t="s">
        <v>95</v>
      </c>
      <c r="F16" s="13" t="s">
        <v>96</v>
      </c>
    </row>
    <row r="17" customFormat="false" ht="15" hidden="false" customHeight="false" outlineLevel="0" collapsed="false">
      <c r="A17" s="13" t="s">
        <v>97</v>
      </c>
      <c r="B17" s="13" t="s">
        <v>98</v>
      </c>
      <c r="C17" s="13" t="s">
        <v>99</v>
      </c>
      <c r="D17" s="9" t="n">
        <v>2500</v>
      </c>
      <c r="E17" s="13" t="s">
        <v>100</v>
      </c>
      <c r="F17" s="13" t="s">
        <v>101</v>
      </c>
    </row>
    <row r="18" customFormat="false" ht="15" hidden="false" customHeight="false" outlineLevel="0" collapsed="false">
      <c r="A18" s="13" t="s">
        <v>102</v>
      </c>
      <c r="B18" s="13" t="s">
        <v>103</v>
      </c>
      <c r="C18" s="13" t="s">
        <v>104</v>
      </c>
      <c r="D18" s="9" t="n">
        <v>2500</v>
      </c>
      <c r="E18" s="13"/>
      <c r="F18" s="13" t="s">
        <v>105</v>
      </c>
    </row>
    <row r="19" customFormat="false" ht="15" hidden="false" customHeight="false" outlineLevel="0" collapsed="false">
      <c r="A19" s="13" t="s">
        <v>106</v>
      </c>
      <c r="B19" s="13" t="s">
        <v>107</v>
      </c>
      <c r="C19" s="13" t="s">
        <v>33</v>
      </c>
      <c r="D19" s="9" t="n">
        <v>2500</v>
      </c>
      <c r="E19" s="13" t="s">
        <v>108</v>
      </c>
      <c r="F19" s="13" t="s">
        <v>109</v>
      </c>
    </row>
    <row r="20" customFormat="false" ht="15" hidden="false" customHeight="false" outlineLevel="0" collapsed="false">
      <c r="A20" s="13" t="s">
        <v>110</v>
      </c>
      <c r="B20" s="13" t="s">
        <v>111</v>
      </c>
      <c r="C20" s="13" t="s">
        <v>112</v>
      </c>
      <c r="D20" s="9" t="n">
        <v>2500</v>
      </c>
      <c r="E20" s="13" t="s">
        <v>67</v>
      </c>
      <c r="F20" s="13" t="s">
        <v>113</v>
      </c>
    </row>
    <row r="21" customFormat="false" ht="15" hidden="false" customHeight="false" outlineLevel="0" collapsed="false">
      <c r="A21" s="13" t="s">
        <v>114</v>
      </c>
      <c r="B21" s="13" t="s">
        <v>115</v>
      </c>
      <c r="C21" s="13" t="s">
        <v>116</v>
      </c>
      <c r="D21" s="9" t="n">
        <v>2500</v>
      </c>
      <c r="E21" s="13"/>
      <c r="F21" s="13" t="s">
        <v>117</v>
      </c>
    </row>
    <row r="22" customFormat="false" ht="15" hidden="false" customHeight="false" outlineLevel="0" collapsed="false">
      <c r="A22" s="13" t="s">
        <v>118</v>
      </c>
      <c r="B22" s="13" t="s">
        <v>119</v>
      </c>
      <c r="C22" s="13" t="s">
        <v>120</v>
      </c>
      <c r="D22" s="9" t="n">
        <v>2500</v>
      </c>
      <c r="E22" s="13"/>
      <c r="F22" s="13" t="s">
        <v>121</v>
      </c>
    </row>
    <row r="23" customFormat="false" ht="15" hidden="false" customHeight="false" outlineLevel="0" collapsed="false">
      <c r="A23" s="14"/>
      <c r="B23" s="14"/>
      <c r="C23" s="11" t="s">
        <v>122</v>
      </c>
      <c r="D23" s="12" t="n">
        <f aca="false">SUM(D5:D22)</f>
        <v>46500</v>
      </c>
      <c r="E23" s="14"/>
      <c r="F23" s="14"/>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0"/>
  </cols>
  <sheetData>
    <row r="1" customFormat="false" ht="21.75" hidden="false" customHeight="true" outlineLevel="0" collapsed="false">
      <c r="A1" s="5" t="s">
        <v>123</v>
      </c>
      <c r="B1" s="5"/>
    </row>
    <row r="2" customFormat="false" ht="25.5" hidden="false" customHeight="true" outlineLevel="0" collapsed="false">
      <c r="A2" s="6" t="s">
        <v>124</v>
      </c>
      <c r="B2" s="6"/>
    </row>
    <row r="4" customFormat="false" ht="15" hidden="false" customHeight="false" outlineLevel="0" collapsed="false">
      <c r="A4" s="7" t="s">
        <v>125</v>
      </c>
      <c r="B4" s="7" t="s">
        <v>126</v>
      </c>
    </row>
    <row r="5" customFormat="false" ht="33.75" hidden="false" customHeight="true" outlineLevel="0" collapsed="false">
      <c r="A5" s="8" t="n">
        <v>1</v>
      </c>
      <c r="B5" s="4" t="s">
        <v>127</v>
      </c>
    </row>
    <row r="6" customFormat="false" ht="33.75" hidden="false" customHeight="true" outlineLevel="0" collapsed="false">
      <c r="A6" s="8" t="n">
        <v>2</v>
      </c>
      <c r="B6" s="4" t="s">
        <v>128</v>
      </c>
    </row>
    <row r="7" customFormat="false" ht="33.75" hidden="false" customHeight="true" outlineLevel="0" collapsed="false">
      <c r="A7" s="8" t="n">
        <v>3</v>
      </c>
      <c r="B7" s="4" t="s">
        <v>129</v>
      </c>
    </row>
    <row r="8" customFormat="false" ht="33.75" hidden="false" customHeight="true" outlineLevel="0" collapsed="false">
      <c r="A8" s="8" t="n">
        <v>4</v>
      </c>
      <c r="B8" s="4" t="s">
        <v>130</v>
      </c>
    </row>
    <row r="9" customFormat="false" ht="33.75" hidden="false" customHeight="true" outlineLevel="0" collapsed="false">
      <c r="A9" s="8" t="n">
        <v>5</v>
      </c>
      <c r="B9" s="4" t="s">
        <v>131</v>
      </c>
    </row>
    <row r="10" customFormat="false" ht="33.75" hidden="false" customHeight="true" outlineLevel="0" collapsed="false">
      <c r="A10" s="8" t="n">
        <v>6</v>
      </c>
      <c r="B10" s="4" t="s">
        <v>132</v>
      </c>
    </row>
    <row r="11" customFormat="false" ht="33.75" hidden="false" customHeight="true" outlineLevel="0" collapsed="false">
      <c r="A11" s="8" t="n">
        <v>7</v>
      </c>
      <c r="B11" s="4" t="s">
        <v>133</v>
      </c>
    </row>
    <row r="12" customFormat="false" ht="33.75" hidden="false" customHeight="true" outlineLevel="0" collapsed="false">
      <c r="A12" s="8" t="n">
        <v>8</v>
      </c>
      <c r="B12" s="4" t="s">
        <v>134</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2026-07-11T09:41:28Z</dcterms:created>
  <dc:creator>openpyxl</dc:creator>
  <dc:description/>
  <dc:language>en-US</dc:language>
  <cp:lastModifiedBy/>
  <dcterms:modified xsi:type="dcterms:W3CDTF">2026-07-11T09:41:28Z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